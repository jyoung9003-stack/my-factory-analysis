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원본\"/>
    </mc:Choice>
  </mc:AlternateContent>
  <bookViews>
    <workbookView xWindow="0" yWindow="0" windowWidth="28800" windowHeight="12330"/>
  </bookViews>
  <sheets>
    <sheet name="MES 생산성분석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localSheetId="0" hidden="1">'MES 생산성분석'!#REF!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_xlnm.Criteria" localSheetId="0">'MES 생산성분석'!#REF!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 localSheetId="0">'MES 생산성분석'!$A$2:$Q$54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<sst xmlns="http://schemas.openxmlformats.org/spreadsheetml/2006/main" count="114" uniqueCount="111">
  <si>
    <t xml:space="preserve"> ■ 사출 생산팀 일일 생산 현황</t>
    <phoneticPr fontId="7" type="noConversion"/>
  </si>
  <si>
    <t>1. 생산 및 설비 종합효율 현황</t>
    <phoneticPr fontId="7" type="noConversion"/>
  </si>
  <si>
    <t xml:space="preserve">   ▼ 목표 효율대비 미달 시 적색 표시</t>
    <phoneticPr fontId="7" type="noConversion"/>
  </si>
  <si>
    <t>작업장
[설비]</t>
    <phoneticPr fontId="7" type="noConversion"/>
  </si>
  <si>
    <t>품목명</t>
    <phoneticPr fontId="7" type="noConversion"/>
  </si>
  <si>
    <t>생산 실적</t>
    <phoneticPr fontId="7" type="noConversion"/>
  </si>
  <si>
    <t>운영 시간</t>
    <phoneticPr fontId="19" type="noConversion"/>
  </si>
  <si>
    <t>생산성</t>
    <phoneticPr fontId="7" type="noConversion"/>
  </si>
  <si>
    <t>종합
효율</t>
    <phoneticPr fontId="7" type="noConversion"/>
  </si>
  <si>
    <t>목표
효율</t>
    <phoneticPr fontId="7" type="noConversion"/>
  </si>
  <si>
    <t>OPEN ISSUE</t>
    <phoneticPr fontId="7" type="noConversion"/>
  </si>
  <si>
    <t>품번</t>
    <phoneticPr fontId="7" type="noConversion"/>
  </si>
  <si>
    <t>양품</t>
    <phoneticPr fontId="7" type="noConversion"/>
  </si>
  <si>
    <t>불량</t>
    <phoneticPr fontId="7" type="noConversion"/>
  </si>
  <si>
    <t>합계</t>
    <phoneticPr fontId="7" type="noConversion"/>
  </si>
  <si>
    <t>투입</t>
    <phoneticPr fontId="19" type="noConversion"/>
  </si>
  <si>
    <t>조정</t>
    <phoneticPr fontId="7" type="noConversion"/>
  </si>
  <si>
    <t>가동</t>
    <phoneticPr fontId="19" type="noConversion"/>
  </si>
  <si>
    <t>비가동</t>
    <phoneticPr fontId="19" type="noConversion"/>
  </si>
  <si>
    <t>정미</t>
    <phoneticPr fontId="19" type="noConversion"/>
  </si>
  <si>
    <t>양품율</t>
  </si>
  <si>
    <t>성능</t>
    <phoneticPr fontId="19" type="noConversion"/>
  </si>
  <si>
    <t>시간</t>
    <phoneticPr fontId="19" type="noConversion"/>
  </si>
  <si>
    <t>GRAND TOTAL</t>
    <phoneticPr fontId="7" type="noConversion"/>
  </si>
  <si>
    <t>04호기 - 원일 150T</t>
  </si>
  <si>
    <t>06호기 - 원일 150T</t>
  </si>
  <si>
    <t>*야간 Coil ass'y 확보 후 가동</t>
    <phoneticPr fontId="7" type="noConversion"/>
  </si>
  <si>
    <t>08호기 - 원일 120T</t>
  </si>
  <si>
    <t>09호기 - 원일 150T</t>
  </si>
  <si>
    <t>*주, 야간 시업 중 가스 및 미성형 발생
→ 사출 계량 및 보압 조건 상향 조정 후 모니터링
→ 해당 금형 시업 및 휴식 후 가동 시 간헐적 미성형 발생
→ 원인 파악 필요</t>
    <phoneticPr fontId="7" type="noConversion"/>
  </si>
  <si>
    <t>10호기 - 원일 100T</t>
    <phoneticPr fontId="7" type="noConversion"/>
  </si>
  <si>
    <t>11호기 - 원일 100T</t>
  </si>
  <si>
    <t>12호기 - 원일 120T</t>
  </si>
  <si>
    <t>13호기 - MEW 150T</t>
    <phoneticPr fontId="7" type="noConversion"/>
  </si>
  <si>
    <t>14호기 - MEW 150T</t>
  </si>
  <si>
    <t>*주간 슬라이드 습동 이상. 슬라이드 코어 점검</t>
    <phoneticPr fontId="7" type="noConversion"/>
  </si>
  <si>
    <t>15호기 - MEW 150T</t>
    <phoneticPr fontId="7" type="noConversion"/>
  </si>
  <si>
    <t>16호기 - 원일 120T</t>
  </si>
  <si>
    <t>19호기 - JSW 100T</t>
    <phoneticPr fontId="7" type="noConversion"/>
  </si>
  <si>
    <t>20호기 - MEW 150T</t>
    <phoneticPr fontId="7" type="noConversion"/>
  </si>
  <si>
    <t>21호기 - 원일 120T</t>
  </si>
  <si>
    <t>A동 SUB TOTAL</t>
    <phoneticPr fontId="7" type="noConversion"/>
  </si>
  <si>
    <t>22호기 - ARBURG 200T</t>
    <phoneticPr fontId="7" type="noConversion"/>
  </si>
  <si>
    <t>23호기 - ARBURG 200T</t>
  </si>
  <si>
    <t>24호기 - 우진 220T</t>
  </si>
  <si>
    <t>25호기 - 우진 220T</t>
  </si>
  <si>
    <t>26호기 - 우진 220T</t>
  </si>
  <si>
    <t>27호기 - 우진 220T</t>
  </si>
  <si>
    <t>28호기 - 우진 150T</t>
  </si>
  <si>
    <t>*주간 Cav.1 핀 칩 Burr. 코어 랩핑</t>
    <phoneticPr fontId="7" type="noConversion"/>
  </si>
  <si>
    <t>29호기 - 우진 150T</t>
  </si>
  <si>
    <t>30호기 - 우진 150T</t>
  </si>
  <si>
    <t>*야간 Cav.3 상측 금형 수지 고착. 제거 후 가동</t>
    <phoneticPr fontId="7" type="noConversion"/>
  </si>
  <si>
    <t>32호기 - ARBURG 100T</t>
  </si>
  <si>
    <t>33호기 - ARBURG 100T</t>
  </si>
  <si>
    <t>*주간 Cav.8 금형 내 핀 코어 인서트 미흡으로 인한 푸셔 알람
→ 핀 취출 및 인서트 위치 조정</t>
    <phoneticPr fontId="7" type="noConversion"/>
  </si>
  <si>
    <t>35호기 - ARBURG 100T (자동)</t>
  </si>
  <si>
    <t>36호기 - ZHAFIR 120T</t>
    <phoneticPr fontId="7" type="noConversion"/>
  </si>
  <si>
    <t>37호기 - ARBURG 100T (자동)</t>
  </si>
  <si>
    <t>38호기 - ARBURG 100T (자동)</t>
  </si>
  <si>
    <t>39호기 - ZHAFIR 120T</t>
    <phoneticPr fontId="7" type="noConversion"/>
  </si>
  <si>
    <t>B동 SUB TOTAL</t>
    <phoneticPr fontId="7" type="noConversion"/>
  </si>
  <si>
    <t>40호기 - ARBURG 200T (자동)</t>
  </si>
  <si>
    <t>41호기 - 우진 220T (자동)</t>
  </si>
  <si>
    <t>42호기 - 우진 220T (자동)</t>
  </si>
  <si>
    <t>43호기 - ARBURG 200T</t>
  </si>
  <si>
    <t>44호기 - 우진 220T</t>
  </si>
  <si>
    <t>*작업자 설비 트러블 현황 인터뷰
-. 필터 공급부 센서 인식 이상으로 공급 지연
→ 작업자 필터 수동 공급 증가로 효율 저하 및 작업자 피로도 누적
-. 안전 장치 개선 필요
→ 런너 배출부 정리시 작업 어려움 및 위험. 해당건 모니터링 진행</t>
    <phoneticPr fontId="7" type="noConversion"/>
  </si>
  <si>
    <t>45호기 - 우진 220T</t>
  </si>
  <si>
    <t>46호기 - MEW 250T</t>
  </si>
  <si>
    <t>*주간 단차 검사부 설비 점검 - 설비보전팀, 품질보증팀
*설비 가동간 필터 공급부 겹침 및 공급지연으로 효유 저하
→설비보전팀 점검 예정</t>
    <phoneticPr fontId="7" type="noConversion"/>
  </si>
  <si>
    <t>47호기 - ARBURG 200T</t>
    <phoneticPr fontId="7" type="noConversion"/>
  </si>
  <si>
    <t>48호기 - 원일 200T</t>
    <phoneticPr fontId="7" type="noConversion"/>
  </si>
  <si>
    <t>*주간 Cav.7, 8 금형 에젝터 동작시 소음. 금형 점검
*주간 280P/P 누락
→ 프레스 다이 칩 배출 불량으로 인한 릴 전진 불가
→ 프레스 하차 후 수리
*야간 카세트코어 공급부 방향 확인 센서 인식 불가. 센서 점검</t>
    <phoneticPr fontId="7" type="noConversion"/>
  </si>
  <si>
    <t>49호기 - ARBURG 300T</t>
    <phoneticPr fontId="7" type="noConversion"/>
  </si>
  <si>
    <t>*주간 연속생산 중 금형보호 및 로보트 비상정지 알람 (2회)
→ 금형 내 상측 런너 눌림. 2/12, 2/27, 3/27, 3/31 동증상
→ 생산팀 런너 제거, 실린더 승온 후 가동
*주간 부쉬 공급부 로보트 취출 및 안착 불량. (2회)
→ 취출 및 인서트 위치 조정</t>
    <phoneticPr fontId="7" type="noConversion"/>
  </si>
  <si>
    <t>50호기 - 원일 200T</t>
  </si>
  <si>
    <t>*주간 630P/P 로보트 척 잡기, 풀기 동작 알람
→ 센서 점검, 취출 및 인서트 위치 조정
*야간 코어 공급부 클램프 하강 센서 알람 (2회). 센서 점검
*야간 다관절로보트 코어 클램프 잡기 동작 이상. 센서 점검</t>
    <phoneticPr fontId="7" type="noConversion"/>
  </si>
  <si>
    <t>51호기 - ARBURG 200T</t>
  </si>
  <si>
    <t>*야간 Cav.7 슬라이드 작동 이상. 금형 점검 및 청소
*야간 설비 가동 중 1분 이상 가동 지연 시 화살촉 미성형 발생
→ 해당건 발생 현황 모니터링 진행</t>
    <phoneticPr fontId="7" type="noConversion"/>
  </si>
  <si>
    <t>52호기 - ARBURG 160T</t>
  </si>
  <si>
    <t>53호기 - 재피어 450T</t>
    <phoneticPr fontId="7" type="noConversion"/>
  </si>
  <si>
    <t>C동/D동 SUB TOTAL</t>
    <phoneticPr fontId="7" type="noConversion"/>
  </si>
  <si>
    <t xml:space="preserve"> </t>
    <phoneticPr fontId="7" type="noConversion"/>
  </si>
  <si>
    <t>GEN4 EXHAUST LH</t>
  </si>
  <si>
    <t>FCEV FLANGE ASS'Y ACV</t>
  </si>
  <si>
    <t>ROTOR OS SLEEVE</t>
  </si>
  <si>
    <t>TAS GEN2.0 ROTOR IS</t>
  </si>
  <si>
    <t>KEV3 DRIVE_P 20.5Ω(9144060693)</t>
  </si>
  <si>
    <t>KEV3 DRIVE 14.5Ω(9144060260)</t>
  </si>
  <si>
    <t>KEV1 DRIVE 20.5Ω(9144060009)</t>
  </si>
  <si>
    <t>LINK OVER MOLD</t>
  </si>
  <si>
    <t>KEV BOBBIN ASS'Y</t>
  </si>
  <si>
    <t>KEV BOBBIN ASSY_PPS(9144060689)</t>
  </si>
  <si>
    <t>TAS GEN2.0 HOUSING</t>
  </si>
  <si>
    <t>MEB5 ESC COVER</t>
  </si>
  <si>
    <t>601D M/CORE COVER (KBE 1033BK)</t>
  </si>
  <si>
    <t>iMEB2 BOBBIN OV</t>
  </si>
  <si>
    <t>SP2 PE 수밀 커버</t>
  </si>
  <si>
    <t>iMEB2 BOBBIN WSV</t>
  </si>
  <si>
    <t>MEB5 BOBBIN OV</t>
  </si>
  <si>
    <t>MEB5 BOBBIN IV</t>
  </si>
  <si>
    <t>KEV3 COVER QC_P (9144060696)</t>
  </si>
  <si>
    <t>KEV3 COVER 7.0 LN QC (9144060378)</t>
  </si>
  <si>
    <t>KEV3 COVER 5.0 (9044060246)</t>
  </si>
  <si>
    <t>IDB COVER ASS'Y</t>
  </si>
  <si>
    <t>LRR30 HOUSING(AS161-A81-00)</t>
  </si>
  <si>
    <t>MEB5 ESCi HOUSING (S)</t>
  </si>
  <si>
    <t>iMEB2 ECU HOUSING (필터융착)</t>
  </si>
  <si>
    <t>MEB5 HOUSING ESC (S)</t>
  </si>
  <si>
    <t>IDB HOUSING MOLD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</si>
</sst>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#.##%"/>
    <numFmt numFmtId="178" formatCode="_-* #,##0.000_-;\-* #,##0.000_-;_-* &quot;-&quot;_-;_-@_-"/>
    <numFmt numFmtId="179" formatCode="&quot;₩&quot;#,##0;&quot;₩&quot;&quot;₩&quot;\-#,##0"/>
    <numFmt numFmtId="180" formatCode="[$-F800]dddd\,\ mmmm\ dd\,\ yyyy"/>
    <numFmt numFmtId="181" formatCode="m&quot;/&quot;d;@"/>
    <numFmt numFmtId="182" formatCode="_-* #,##0.0_-;\-* #,##0.0_-;_-* &quot;-&quot;_-;_-@_-"/>
    <numFmt numFmtId="183" formatCode="0.0%"/>
  </numFmts>
  <fonts count="33" x14ac:knownFonts="1">
    <font>
      <sz val="11"/>
      <color theme="1"/>
      <name val="현대하모니 M"/>
      <family val="2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  <scheme val="major"/>
    </font>
    <font>
      <sz val="8"/>
      <name val="현대하모니 M"/>
      <family val="2"/>
      <charset val="129"/>
    </font>
    <font>
      <b/>
      <sz val="9"/>
      <name val="맑은 고딕"/>
      <family val="3"/>
      <charset val="129"/>
      <scheme val="major"/>
    </font>
    <font>
      <sz val="7.5"/>
      <name val="맑은 고딕"/>
      <family val="3"/>
      <charset val="129"/>
      <scheme val="major"/>
    </font>
    <font>
      <b/>
      <sz val="16"/>
      <color theme="0"/>
      <name val="HY견고딕"/>
      <family val="1"/>
      <charset val="129"/>
    </font>
    <font>
      <sz val="8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16"/>
      <color theme="0"/>
      <name val="HY견고딕"/>
      <family val="1"/>
      <charset val="129"/>
    </font>
    <font>
      <b/>
      <sz val="9"/>
      <color theme="0"/>
      <name val="HY견고딕"/>
      <family val="1"/>
      <charset val="129"/>
    </font>
    <font>
      <b/>
      <sz val="7.5"/>
      <color theme="0"/>
      <name val="HY견고딕"/>
      <family val="1"/>
      <charset val="129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8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11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i/>
      <sz val="10.5"/>
      <name val="맑은 고딕"/>
      <family val="3"/>
      <charset val="129"/>
      <scheme val="major"/>
    </font>
    <font>
      <b/>
      <sz val="10.5"/>
      <name val="맑은 고딕"/>
      <family val="3"/>
      <charset val="129"/>
      <scheme val="major"/>
    </font>
    <font>
      <b/>
      <sz val="10.5"/>
      <color rgb="FFFF0000"/>
      <name val="맑은 고딕"/>
      <family val="3"/>
      <charset val="129"/>
      <scheme val="major"/>
    </font>
    <font>
      <b/>
      <i/>
      <sz val="10.5"/>
      <color indexed="8"/>
      <name val="맑은 고딕"/>
      <family val="3"/>
      <charset val="129"/>
      <scheme val="major"/>
    </font>
    <font>
      <sz val="10.5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i/>
      <sz val="10"/>
      <name val="맑은 고딕"/>
      <family val="3"/>
      <charset val="129"/>
      <scheme val="major"/>
    </font>
    <font>
      <b/>
      <i/>
      <sz val="10"/>
      <color indexed="8"/>
      <name val="맑은 고딕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ck">
        <color rgb="FFFF0000"/>
      </left>
      <right style="thick">
        <color rgb="FFFF0000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thick">
        <color rgb="FFFF0000"/>
      </bottom>
      <diagonal/>
    </border>
  </borders>
  <cellStyleXfs count="9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/>
    <xf numFmtId="0" fontId="16" fillId="0" borderId="0">
      <alignment vertical="center"/>
    </xf>
    <xf numFmtId="0" fontId="1" fillId="0" borderId="0">
      <alignment vertical="center"/>
    </xf>
  </cellStyleXfs>
  <cellXfs count="239">
    <xf numFmtId="0" fontId="0" fillId="0" borderId="0" xfId="0">
      <alignment vertical="center"/>
    </xf>
    <xf numFmtId="0" fontId="2" fillId="0" borderId="0" xfId="3" applyFont="1">
      <alignment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vertical="center" wrapText="1"/>
    </xf>
    <xf numFmtId="176" fontId="2" fillId="0" borderId="0" xfId="4" applyNumberFormat="1" applyFont="1">
      <alignment vertical="center"/>
    </xf>
    <xf numFmtId="176" fontId="2" fillId="0" borderId="0" xfId="4" applyNumberFormat="1" applyFont="1" applyAlignment="1">
      <alignment vertical="center"/>
    </xf>
    <xf numFmtId="10" fontId="2" fillId="0" borderId="0" xfId="5" applyNumberFormat="1" applyFont="1" applyAlignment="1">
      <alignment horizontal="center" vertical="center"/>
    </xf>
    <xf numFmtId="177" fontId="2" fillId="0" borderId="0" xfId="5" applyNumberFormat="1" applyFont="1" applyAlignment="1">
      <alignment horizontal="center" vertical="center"/>
    </xf>
    <xf numFmtId="178" fontId="4" fillId="0" borderId="0" xfId="4" applyNumberFormat="1" applyFont="1" applyAlignment="1">
      <alignment horizontal="center" vertical="center"/>
    </xf>
    <xf numFmtId="177" fontId="5" fillId="0" borderId="0" xfId="5" applyNumberFormat="1" applyFont="1" applyAlignment="1">
      <alignment horizontal="left" vertical="center"/>
    </xf>
    <xf numFmtId="179" fontId="6" fillId="2" borderId="0" xfId="6" applyFont="1" applyFill="1" applyBorder="1" applyAlignment="1">
      <alignment horizontal="left" vertical="center"/>
    </xf>
    <xf numFmtId="179" fontId="8" fillId="3" borderId="0" xfId="6" applyFont="1" applyFill="1" applyBorder="1" applyAlignment="1">
      <alignment horizontal="center" vertical="center"/>
    </xf>
    <xf numFmtId="180" fontId="6" fillId="2" borderId="0" xfId="6" applyNumberFormat="1" applyFont="1" applyFill="1" applyBorder="1" applyAlignment="1">
      <alignment horizontal="left" vertical="center"/>
    </xf>
    <xf numFmtId="180" fontId="6" fillId="2" borderId="0" xfId="6" applyNumberFormat="1" applyFont="1" applyFill="1" applyBorder="1" applyAlignment="1">
      <alignment horizontal="left" vertical="center"/>
    </xf>
    <xf numFmtId="41" fontId="9" fillId="2" borderId="0" xfId="4" applyFont="1" applyFill="1" applyBorder="1" applyAlignment="1">
      <alignment horizontal="left" vertical="center"/>
    </xf>
    <xf numFmtId="177" fontId="9" fillId="2" borderId="0" xfId="5" applyNumberFormat="1" applyFont="1" applyFill="1" applyBorder="1" applyAlignment="1">
      <alignment horizontal="left" vertical="center"/>
    </xf>
    <xf numFmtId="43" fontId="6" fillId="2" borderId="0" xfId="4" applyNumberFormat="1" applyFont="1" applyFill="1" applyBorder="1" applyAlignment="1">
      <alignment horizontal="left" vertical="center"/>
    </xf>
    <xf numFmtId="178" fontId="10" fillId="2" borderId="0" xfId="4" applyNumberFormat="1" applyFont="1" applyFill="1" applyBorder="1" applyAlignment="1">
      <alignment horizontal="left" vertical="center"/>
    </xf>
    <xf numFmtId="177" fontId="11" fillId="2" borderId="0" xfId="5" applyNumberFormat="1" applyFont="1" applyFill="1" applyBorder="1" applyAlignment="1">
      <alignment horizontal="left" vertical="center"/>
    </xf>
    <xf numFmtId="0" fontId="2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176" fontId="2" fillId="0" borderId="0" xfId="4" applyNumberFormat="1" applyFont="1" applyFill="1" applyAlignment="1">
      <alignment vertical="center"/>
    </xf>
    <xf numFmtId="9" fontId="14" fillId="0" borderId="0" xfId="2" applyFont="1" applyAlignment="1">
      <alignment horizontal="center" vertical="center"/>
    </xf>
    <xf numFmtId="176" fontId="4" fillId="0" borderId="0" xfId="4" applyNumberFormat="1" applyFont="1" applyAlignment="1">
      <alignment vertical="center"/>
    </xf>
    <xf numFmtId="177" fontId="5" fillId="0" borderId="0" xfId="5" applyNumberFormat="1" applyFont="1" applyAlignment="1">
      <alignment vertical="center"/>
    </xf>
    <xf numFmtId="177" fontId="15" fillId="0" borderId="0" xfId="5" applyNumberFormat="1" applyFont="1" applyAlignment="1">
      <alignment horizontal="left"/>
    </xf>
    <xf numFmtId="0" fontId="17" fillId="3" borderId="1" xfId="7" applyFont="1" applyFill="1" applyBorder="1" applyAlignment="1">
      <alignment horizontal="center" vertical="center" wrapText="1" shrinkToFit="1"/>
    </xf>
    <xf numFmtId="0" fontId="2" fillId="0" borderId="2" xfId="3" applyFont="1" applyBorder="1" applyAlignment="1">
      <alignment horizontal="center" vertical="center"/>
    </xf>
    <xf numFmtId="0" fontId="17" fillId="3" borderId="3" xfId="7" applyFont="1" applyFill="1" applyBorder="1" applyAlignment="1">
      <alignment horizontal="center" vertical="center" wrapText="1" shrinkToFit="1"/>
    </xf>
    <xf numFmtId="0" fontId="18" fillId="3" borderId="4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3" borderId="6" xfId="3" applyFont="1" applyFill="1" applyBorder="1" applyAlignment="1">
      <alignment horizontal="center" vertical="center"/>
    </xf>
    <xf numFmtId="176" fontId="18" fillId="3" borderId="4" xfId="4" applyNumberFormat="1" applyFont="1" applyFill="1" applyBorder="1" applyAlignment="1">
      <alignment horizontal="center" vertical="center"/>
    </xf>
    <xf numFmtId="176" fontId="18" fillId="3" borderId="5" xfId="4" applyNumberFormat="1" applyFont="1" applyFill="1" applyBorder="1" applyAlignment="1">
      <alignment horizontal="center" vertical="center"/>
    </xf>
    <xf numFmtId="176" fontId="18" fillId="3" borderId="6" xfId="4" applyNumberFormat="1" applyFont="1" applyFill="1" applyBorder="1" applyAlignment="1">
      <alignment horizontal="center" vertical="center"/>
    </xf>
    <xf numFmtId="10" fontId="18" fillId="3" borderId="5" xfId="5" applyNumberFormat="1" applyFont="1" applyFill="1" applyBorder="1" applyAlignment="1">
      <alignment horizontal="center" vertical="center"/>
    </xf>
    <xf numFmtId="177" fontId="17" fillId="3" borderId="7" xfId="5" applyNumberFormat="1" applyFont="1" applyFill="1" applyBorder="1" applyAlignment="1">
      <alignment horizontal="center" vertical="center" wrapText="1" shrinkToFit="1"/>
    </xf>
    <xf numFmtId="181" fontId="17" fillId="3" borderId="8" xfId="4" applyNumberFormat="1" applyFont="1" applyFill="1" applyBorder="1" applyAlignment="1">
      <alignment horizontal="center" vertical="center" wrapText="1" shrinkToFit="1"/>
    </xf>
    <xf numFmtId="14" fontId="17" fillId="3" borderId="3" xfId="5" applyNumberFormat="1" applyFont="1" applyFill="1" applyBorder="1" applyAlignment="1">
      <alignment horizontal="center" vertical="center"/>
    </xf>
    <xf numFmtId="0" fontId="17" fillId="3" borderId="9" xfId="7" applyFont="1" applyFill="1" applyBorder="1" applyAlignment="1">
      <alignment horizontal="center" vertical="center" shrinkToFit="1"/>
    </xf>
    <xf numFmtId="0" fontId="17" fillId="3" borderId="10" xfId="7" applyFont="1" applyFill="1" applyBorder="1" applyAlignment="1">
      <alignment horizontal="center" vertical="center" shrinkToFit="1"/>
    </xf>
    <xf numFmtId="0" fontId="17" fillId="3" borderId="11" xfId="7" applyFont="1" applyFill="1" applyBorder="1" applyAlignment="1">
      <alignment horizontal="center" vertical="center" wrapText="1" shrinkToFit="1"/>
    </xf>
    <xf numFmtId="0" fontId="17" fillId="3" borderId="12" xfId="7" applyFont="1" applyFill="1" applyBorder="1" applyAlignment="1">
      <alignment horizontal="center" vertical="center" shrinkToFit="1"/>
    </xf>
    <xf numFmtId="0" fontId="17" fillId="3" borderId="13" xfId="7" applyFont="1" applyFill="1" applyBorder="1" applyAlignment="1">
      <alignment horizontal="center" vertical="center" shrinkToFit="1"/>
    </xf>
    <xf numFmtId="0" fontId="17" fillId="3" borderId="14" xfId="7" applyFont="1" applyFill="1" applyBorder="1" applyAlignment="1">
      <alignment horizontal="center" vertical="center" shrinkToFit="1"/>
    </xf>
    <xf numFmtId="176" fontId="17" fillId="3" borderId="12" xfId="4" applyNumberFormat="1" applyFont="1" applyFill="1" applyBorder="1" applyAlignment="1">
      <alignment horizontal="center" vertical="center" shrinkToFit="1"/>
    </xf>
    <xf numFmtId="176" fontId="17" fillId="3" borderId="13" xfId="4" applyNumberFormat="1" applyFont="1" applyFill="1" applyBorder="1" applyAlignment="1">
      <alignment horizontal="center" vertical="center" shrinkToFit="1"/>
    </xf>
    <xf numFmtId="176" fontId="17" fillId="3" borderId="14" xfId="4" applyNumberFormat="1" applyFont="1" applyFill="1" applyBorder="1" applyAlignment="1">
      <alignment horizontal="center" vertical="center" shrinkToFit="1"/>
    </xf>
    <xf numFmtId="10" fontId="17" fillId="3" borderId="15" xfId="5" applyNumberFormat="1" applyFont="1" applyFill="1" applyBorder="1" applyAlignment="1">
      <alignment horizontal="center" vertical="center" shrinkToFit="1"/>
    </xf>
    <xf numFmtId="177" fontId="17" fillId="3" borderId="13" xfId="5" applyNumberFormat="1" applyFont="1" applyFill="1" applyBorder="1" applyAlignment="1">
      <alignment horizontal="center" vertical="center" shrinkToFit="1"/>
    </xf>
    <xf numFmtId="177" fontId="17" fillId="3" borderId="16" xfId="5" applyNumberFormat="1" applyFont="1" applyFill="1" applyBorder="1" applyAlignment="1">
      <alignment horizontal="center" vertical="center" shrinkToFit="1"/>
    </xf>
    <xf numFmtId="177" fontId="17" fillId="3" borderId="17" xfId="5" applyNumberFormat="1" applyFont="1" applyFill="1" applyBorder="1" applyAlignment="1">
      <alignment horizontal="center" vertical="center" shrinkToFit="1"/>
    </xf>
    <xf numFmtId="181" fontId="17" fillId="3" borderId="18" xfId="4" applyNumberFormat="1" applyFont="1" applyFill="1" applyBorder="1" applyAlignment="1">
      <alignment horizontal="center" vertical="center" shrinkToFit="1"/>
    </xf>
    <xf numFmtId="14" fontId="17" fillId="3" borderId="11" xfId="5" applyNumberFormat="1" applyFont="1" applyFill="1" applyBorder="1" applyAlignment="1">
      <alignment horizontal="center" vertical="center"/>
    </xf>
    <xf numFmtId="0" fontId="20" fillId="4" borderId="19" xfId="3" applyFont="1" applyFill="1" applyBorder="1" applyAlignment="1">
      <alignment horizontal="center" vertical="center" shrinkToFit="1"/>
    </xf>
    <xf numFmtId="0" fontId="21" fillId="4" borderId="10" xfId="3" applyFont="1" applyFill="1" applyBorder="1" applyAlignment="1">
      <alignment horizontal="center" vertical="center" wrapText="1"/>
    </xf>
    <xf numFmtId="0" fontId="20" fillId="4" borderId="10" xfId="3" applyFont="1" applyFill="1" applyBorder="1" applyAlignment="1">
      <alignment horizontal="center" vertical="center" shrinkToFit="1"/>
    </xf>
    <xf numFmtId="41" fontId="20" fillId="4" borderId="19" xfId="4" applyFont="1" applyFill="1" applyBorder="1">
      <alignment vertical="center"/>
    </xf>
    <xf numFmtId="41" fontId="20" fillId="4" borderId="20" xfId="4" applyFont="1" applyFill="1" applyBorder="1">
      <alignment vertical="center"/>
    </xf>
    <xf numFmtId="41" fontId="20" fillId="4" borderId="21" xfId="4" applyFont="1" applyFill="1" applyBorder="1">
      <alignment vertical="center"/>
    </xf>
    <xf numFmtId="182" fontId="20" fillId="4" borderId="19" xfId="4" applyNumberFormat="1" applyFont="1" applyFill="1" applyBorder="1">
      <alignment vertical="center"/>
    </xf>
    <xf numFmtId="182" fontId="22" fillId="4" borderId="20" xfId="4" applyNumberFormat="1" applyFont="1" applyFill="1" applyBorder="1" applyAlignment="1">
      <alignment vertical="center"/>
    </xf>
    <xf numFmtId="182" fontId="20" fillId="4" borderId="20" xfId="4" applyNumberFormat="1" applyFont="1" applyFill="1" applyBorder="1">
      <alignment vertical="center"/>
    </xf>
    <xf numFmtId="182" fontId="20" fillId="4" borderId="21" xfId="4" applyNumberFormat="1" applyFont="1" applyFill="1" applyBorder="1">
      <alignment vertical="center"/>
    </xf>
    <xf numFmtId="183" fontId="23" fillId="4" borderId="22" xfId="5" applyNumberFormat="1" applyFont="1" applyFill="1" applyBorder="1" applyAlignment="1">
      <alignment horizontal="center" vertical="center"/>
    </xf>
    <xf numFmtId="183" fontId="20" fillId="4" borderId="20" xfId="5" applyNumberFormat="1" applyFont="1" applyFill="1" applyBorder="1" applyAlignment="1">
      <alignment horizontal="center" vertical="center" wrapText="1"/>
    </xf>
    <xf numFmtId="183" fontId="20" fillId="4" borderId="23" xfId="5" applyNumberFormat="1" applyFont="1" applyFill="1" applyBorder="1" applyAlignment="1">
      <alignment horizontal="center" vertical="center" wrapText="1"/>
    </xf>
    <xf numFmtId="183" fontId="20" fillId="4" borderId="24" xfId="5" applyNumberFormat="1" applyFont="1" applyFill="1" applyBorder="1" applyAlignment="1">
      <alignment horizontal="center" vertical="center" wrapText="1"/>
    </xf>
    <xf numFmtId="183" fontId="20" fillId="4" borderId="22" xfId="2" applyNumberFormat="1" applyFont="1" applyFill="1" applyBorder="1" applyAlignment="1">
      <alignment horizontal="center" vertical="center" wrapText="1"/>
    </xf>
    <xf numFmtId="176" fontId="24" fillId="4" borderId="21" xfId="5" applyNumberFormat="1" applyFont="1" applyFill="1" applyBorder="1" applyAlignment="1">
      <alignment horizontal="left" vertical="center"/>
    </xf>
    <xf numFmtId="0" fontId="25" fillId="5" borderId="25" xfId="8" applyFont="1" applyFill="1" applyBorder="1" applyAlignment="1">
      <alignment horizontal="left" vertical="center" shrinkToFit="1"/>
    </xf>
    <xf numFmtId="0" fontId="25" fillId="6" borderId="26" xfId="8" applyFont="1" applyFill="1" applyBorder="1" applyAlignment="1">
      <alignment horizontal="center" vertical="center"/>
    </xf>
    <xf numFmtId="0" fontId="25" fillId="5" borderId="27" xfId="8" applyFont="1" applyFill="1" applyBorder="1" applyAlignment="1">
      <alignment horizontal="left" vertical="center" wrapText="1" shrinkToFit="1"/>
    </xf>
    <xf numFmtId="41" fontId="25" fillId="0" borderId="28" xfId="1" applyFont="1" applyFill="1" applyBorder="1" applyAlignment="1">
      <alignment horizontal="left" vertical="center" shrinkToFit="1"/>
    </xf>
    <xf numFmtId="41" fontId="25" fillId="0" borderId="29" xfId="1" applyFont="1" applyFill="1" applyBorder="1" applyAlignment="1">
      <alignment horizontal="left" vertical="center" shrinkToFit="1"/>
    </xf>
    <xf numFmtId="41" fontId="25" fillId="0" borderId="27" xfId="1" applyFont="1" applyFill="1" applyBorder="1" applyAlignment="1">
      <alignment horizontal="left" vertical="center" shrinkToFit="1"/>
    </xf>
    <xf numFmtId="182" fontId="25" fillId="0" borderId="25" xfId="4" applyNumberFormat="1" applyFont="1" applyFill="1" applyBorder="1">
      <alignment vertical="center"/>
    </xf>
    <xf numFmtId="182" fontId="26" fillId="0" borderId="30" xfId="4" applyNumberFormat="1" applyFont="1" applyFill="1" applyBorder="1" applyAlignment="1">
      <alignment vertical="center"/>
    </xf>
    <xf numFmtId="182" fontId="25" fillId="0" borderId="30" xfId="4" applyNumberFormat="1" applyFont="1" applyFill="1" applyBorder="1">
      <alignment vertical="center"/>
    </xf>
    <xf numFmtId="182" fontId="25" fillId="0" borderId="27" xfId="4" applyNumberFormat="1" applyFont="1" applyFill="1" applyBorder="1">
      <alignment vertical="center"/>
    </xf>
    <xf numFmtId="183" fontId="27" fillId="0" borderId="26" xfId="5" applyNumberFormat="1" applyFont="1" applyFill="1" applyBorder="1" applyAlignment="1">
      <alignment horizontal="center" vertical="center"/>
    </xf>
    <xf numFmtId="183" fontId="27" fillId="0" borderId="30" xfId="5" applyNumberFormat="1" applyFont="1" applyFill="1" applyBorder="1" applyAlignment="1">
      <alignment horizontal="center" vertical="center"/>
    </xf>
    <xf numFmtId="183" fontId="25" fillId="0" borderId="29" xfId="5" applyNumberFormat="1" applyFont="1" applyFill="1" applyBorder="1" applyAlignment="1">
      <alignment horizontal="center" vertical="center" wrapText="1"/>
    </xf>
    <xf numFmtId="183" fontId="25" fillId="0" borderId="31" xfId="2" applyNumberFormat="1" applyFont="1" applyFill="1" applyBorder="1" applyAlignment="1">
      <alignment horizontal="center" vertical="center" wrapText="1"/>
    </xf>
    <xf numFmtId="183" fontId="25" fillId="7" borderId="26" xfId="2" applyNumberFormat="1" applyFont="1" applyFill="1" applyBorder="1" applyAlignment="1">
      <alignment horizontal="center" vertical="center"/>
    </xf>
    <xf numFmtId="179" fontId="25" fillId="0" borderId="27" xfId="6" applyFont="1" applyFill="1" applyBorder="1" applyAlignment="1">
      <alignment horizontal="left" vertical="center" wrapText="1"/>
    </xf>
    <xf numFmtId="0" fontId="25" fillId="5" borderId="32" xfId="8" applyFont="1" applyFill="1" applyBorder="1" applyAlignment="1">
      <alignment horizontal="left" vertical="center" shrinkToFit="1"/>
    </xf>
    <xf numFmtId="0" fontId="25" fillId="6" borderId="33" xfId="8" applyFont="1" applyFill="1" applyBorder="1" applyAlignment="1">
      <alignment horizontal="center" vertical="center"/>
    </xf>
    <xf numFmtId="0" fontId="25" fillId="5" borderId="34" xfId="8" applyFont="1" applyFill="1" applyBorder="1" applyAlignment="1">
      <alignment horizontal="left" vertical="center" wrapText="1" shrinkToFit="1"/>
    </xf>
    <xf numFmtId="41" fontId="25" fillId="0" borderId="35" xfId="1" applyFont="1" applyFill="1" applyBorder="1" applyAlignment="1">
      <alignment horizontal="left" vertical="center" shrinkToFit="1"/>
    </xf>
    <xf numFmtId="41" fontId="25" fillId="0" borderId="36" xfId="1" applyFont="1" applyFill="1" applyBorder="1" applyAlignment="1">
      <alignment horizontal="left" vertical="center" shrinkToFit="1"/>
    </xf>
    <xf numFmtId="41" fontId="25" fillId="0" borderId="34" xfId="1" applyFont="1" applyFill="1" applyBorder="1" applyAlignment="1">
      <alignment horizontal="left" vertical="center" shrinkToFit="1"/>
    </xf>
    <xf numFmtId="182" fontId="25" fillId="0" borderId="32" xfId="4" applyNumberFormat="1" applyFont="1" applyFill="1" applyBorder="1">
      <alignment vertical="center"/>
    </xf>
    <xf numFmtId="182" fontId="26" fillId="0" borderId="37" xfId="4" applyNumberFormat="1" applyFont="1" applyFill="1" applyBorder="1" applyAlignment="1">
      <alignment vertical="center"/>
    </xf>
    <xf numFmtId="182" fontId="25" fillId="0" borderId="37" xfId="4" applyNumberFormat="1" applyFont="1" applyFill="1" applyBorder="1">
      <alignment vertical="center"/>
    </xf>
    <xf numFmtId="182" fontId="25" fillId="0" borderId="34" xfId="4" applyNumberFormat="1" applyFont="1" applyFill="1" applyBorder="1">
      <alignment vertical="center"/>
    </xf>
    <xf numFmtId="183" fontId="27" fillId="0" borderId="33" xfId="5" applyNumberFormat="1" applyFont="1" applyFill="1" applyBorder="1" applyAlignment="1">
      <alignment horizontal="center" vertical="center"/>
    </xf>
    <xf numFmtId="183" fontId="27" fillId="0" borderId="37" xfId="5" applyNumberFormat="1" applyFont="1" applyFill="1" applyBorder="1" applyAlignment="1">
      <alignment horizontal="center" vertical="center"/>
    </xf>
    <xf numFmtId="183" fontId="25" fillId="0" borderId="36" xfId="5" applyNumberFormat="1" applyFont="1" applyFill="1" applyBorder="1" applyAlignment="1">
      <alignment horizontal="center" vertical="center" wrapText="1"/>
    </xf>
    <xf numFmtId="183" fontId="25" fillId="0" borderId="38" xfId="5" applyNumberFormat="1" applyFont="1" applyFill="1" applyBorder="1" applyAlignment="1">
      <alignment horizontal="center" vertical="center" wrapText="1"/>
    </xf>
    <xf numFmtId="183" fontId="25" fillId="7" borderId="33" xfId="2" applyNumberFormat="1" applyFont="1" applyFill="1" applyBorder="1" applyAlignment="1">
      <alignment horizontal="center" vertical="center"/>
    </xf>
    <xf numFmtId="179" fontId="28" fillId="0" borderId="34" xfId="6" applyFont="1" applyFill="1" applyBorder="1" applyAlignment="1">
      <alignment horizontal="left" vertical="center" wrapText="1"/>
    </xf>
    <xf numFmtId="179" fontId="25" fillId="0" borderId="34" xfId="6" applyFont="1" applyFill="1" applyBorder="1" applyAlignment="1">
      <alignment horizontal="left" vertical="center" wrapText="1"/>
    </xf>
    <xf numFmtId="179" fontId="25" fillId="0" borderId="34" xfId="6" quotePrefix="1" applyFont="1" applyFill="1" applyBorder="1" applyAlignment="1">
      <alignment horizontal="left" vertical="center" wrapText="1"/>
    </xf>
    <xf numFmtId="179" fontId="29" fillId="0" borderId="34" xfId="6" applyFont="1" applyFill="1" applyBorder="1" applyAlignment="1">
      <alignment horizontal="left" vertical="center" wrapText="1"/>
    </xf>
    <xf numFmtId="0" fontId="25" fillId="5" borderId="39" xfId="8" applyFont="1" applyFill="1" applyBorder="1" applyAlignment="1">
      <alignment horizontal="left" vertical="center" shrinkToFit="1"/>
    </xf>
    <xf numFmtId="0" fontId="25" fillId="6" borderId="40" xfId="8" applyFont="1" applyFill="1" applyBorder="1" applyAlignment="1">
      <alignment horizontal="center" vertical="center"/>
    </xf>
    <xf numFmtId="0" fontId="25" fillId="5" borderId="41" xfId="8" applyFont="1" applyFill="1" applyBorder="1" applyAlignment="1">
      <alignment horizontal="left" vertical="center" wrapText="1" shrinkToFit="1"/>
    </xf>
    <xf numFmtId="41" fontId="25" fillId="0" borderId="42" xfId="1" applyFont="1" applyFill="1" applyBorder="1" applyAlignment="1">
      <alignment horizontal="left" vertical="center" shrinkToFit="1"/>
    </xf>
    <xf numFmtId="41" fontId="25" fillId="0" borderId="43" xfId="1" applyFont="1" applyFill="1" applyBorder="1" applyAlignment="1">
      <alignment horizontal="left" vertical="center" shrinkToFit="1"/>
    </xf>
    <xf numFmtId="41" fontId="25" fillId="0" borderId="44" xfId="1" applyFont="1" applyFill="1" applyBorder="1" applyAlignment="1">
      <alignment horizontal="left" vertical="center" shrinkToFit="1"/>
    </xf>
    <xf numFmtId="182" fontId="25" fillId="0" borderId="45" xfId="4" applyNumberFormat="1" applyFont="1" applyFill="1" applyBorder="1">
      <alignment vertical="center"/>
    </xf>
    <xf numFmtId="182" fontId="26" fillId="0" borderId="46" xfId="4" applyNumberFormat="1" applyFont="1" applyFill="1" applyBorder="1" applyAlignment="1">
      <alignment vertical="center"/>
    </xf>
    <xf numFmtId="182" fontId="25" fillId="0" borderId="46" xfId="4" applyNumberFormat="1" applyFont="1" applyFill="1" applyBorder="1">
      <alignment vertical="center"/>
    </xf>
    <xf numFmtId="183" fontId="27" fillId="0" borderId="40" xfId="5" applyNumberFormat="1" applyFont="1" applyFill="1" applyBorder="1" applyAlignment="1">
      <alignment horizontal="center" vertical="center"/>
    </xf>
    <xf numFmtId="183" fontId="27" fillId="0" borderId="47" xfId="5" applyNumberFormat="1" applyFont="1" applyFill="1" applyBorder="1" applyAlignment="1">
      <alignment horizontal="center" vertical="center"/>
    </xf>
    <xf numFmtId="183" fontId="25" fillId="0" borderId="48" xfId="5" applyNumberFormat="1" applyFont="1" applyFill="1" applyBorder="1" applyAlignment="1">
      <alignment horizontal="center" vertical="center" wrapText="1"/>
    </xf>
    <xf numFmtId="183" fontId="25" fillId="0" borderId="49" xfId="5" applyNumberFormat="1" applyFont="1" applyFill="1" applyBorder="1" applyAlignment="1">
      <alignment horizontal="center" vertical="center" wrapText="1"/>
    </xf>
    <xf numFmtId="183" fontId="25" fillId="7" borderId="40" xfId="2" applyNumberFormat="1" applyFont="1" applyFill="1" applyBorder="1" applyAlignment="1">
      <alignment horizontal="center" vertical="center"/>
    </xf>
    <xf numFmtId="179" fontId="25" fillId="0" borderId="41" xfId="6" applyFont="1" applyBorder="1" applyAlignment="1">
      <alignment horizontal="left" vertical="center" wrapText="1"/>
    </xf>
    <xf numFmtId="0" fontId="18" fillId="5" borderId="50" xfId="8" applyFont="1" applyFill="1" applyBorder="1" applyAlignment="1">
      <alignment horizontal="center" vertical="center" shrinkToFit="1"/>
    </xf>
    <xf numFmtId="0" fontId="18" fillId="5" borderId="51" xfId="8" applyFont="1" applyFill="1" applyBorder="1" applyAlignment="1">
      <alignment horizontal="center" vertical="center" shrinkToFit="1"/>
    </xf>
    <xf numFmtId="41" fontId="18" fillId="5" borderId="50" xfId="1" applyFont="1" applyFill="1" applyBorder="1" applyAlignment="1">
      <alignment horizontal="center" vertical="center" shrinkToFit="1"/>
    </xf>
    <xf numFmtId="41" fontId="18" fillId="5" borderId="52" xfId="1" applyFont="1" applyFill="1" applyBorder="1" applyAlignment="1">
      <alignment horizontal="center" vertical="center" shrinkToFit="1"/>
    </xf>
    <xf numFmtId="41" fontId="18" fillId="5" borderId="53" xfId="1" applyFont="1" applyFill="1" applyBorder="1" applyAlignment="1">
      <alignment horizontal="center" vertical="center" shrinkToFit="1"/>
    </xf>
    <xf numFmtId="182" fontId="18" fillId="5" borderId="54" xfId="4" applyNumberFormat="1" applyFont="1" applyFill="1" applyBorder="1">
      <alignment vertical="center"/>
    </xf>
    <xf numFmtId="182" fontId="30" fillId="5" borderId="55" xfId="4" applyNumberFormat="1" applyFont="1" applyFill="1" applyBorder="1" applyAlignment="1">
      <alignment vertical="center"/>
    </xf>
    <xf numFmtId="182" fontId="18" fillId="5" borderId="55" xfId="4" applyNumberFormat="1" applyFont="1" applyFill="1" applyBorder="1">
      <alignment vertical="center"/>
    </xf>
    <xf numFmtId="182" fontId="18" fillId="5" borderId="56" xfId="4" applyNumberFormat="1" applyFont="1" applyFill="1" applyBorder="1">
      <alignment vertical="center"/>
    </xf>
    <xf numFmtId="183" fontId="17" fillId="5" borderId="57" xfId="5" applyNumberFormat="1" applyFont="1" applyFill="1" applyBorder="1" applyAlignment="1">
      <alignment horizontal="center" vertical="center"/>
    </xf>
    <xf numFmtId="183" fontId="17" fillId="5" borderId="58" xfId="5" applyNumberFormat="1" applyFont="1" applyFill="1" applyBorder="1" applyAlignment="1">
      <alignment horizontal="center" vertical="center"/>
    </xf>
    <xf numFmtId="183" fontId="18" fillId="5" borderId="59" xfId="5" applyNumberFormat="1" applyFont="1" applyFill="1" applyBorder="1" applyAlignment="1">
      <alignment horizontal="center" vertical="center" wrapText="1"/>
    </xf>
    <xf numFmtId="183" fontId="18" fillId="5" borderId="60" xfId="5" applyNumberFormat="1" applyFont="1" applyFill="1" applyBorder="1" applyAlignment="1">
      <alignment horizontal="center" vertical="center" wrapText="1"/>
    </xf>
    <xf numFmtId="183" fontId="18" fillId="5" borderId="57" xfId="2" applyNumberFormat="1" applyFont="1" applyFill="1" applyBorder="1" applyAlignment="1">
      <alignment horizontal="center" vertical="center"/>
    </xf>
    <xf numFmtId="177" fontId="18" fillId="5" borderId="53" xfId="5" applyNumberFormat="1" applyFont="1" applyFill="1" applyBorder="1" applyAlignment="1">
      <alignment horizontal="left" vertical="center" wrapText="1"/>
    </xf>
    <xf numFmtId="0" fontId="4" fillId="0" borderId="0" xfId="3" applyFont="1">
      <alignment vertical="center"/>
    </xf>
    <xf numFmtId="0" fontId="25" fillId="8" borderId="32" xfId="8" applyFont="1" applyFill="1" applyBorder="1" applyAlignment="1">
      <alignment horizontal="left" vertical="center" shrinkToFit="1"/>
    </xf>
    <xf numFmtId="0" fontId="25" fillId="9" borderId="61" xfId="8" applyFont="1" applyFill="1" applyBorder="1" applyAlignment="1">
      <alignment horizontal="center" vertical="center" shrinkToFit="1"/>
    </xf>
    <xf numFmtId="0" fontId="25" fillId="8" borderId="62" xfId="8" applyFont="1" applyFill="1" applyBorder="1" applyAlignment="1">
      <alignment horizontal="left" vertical="center" wrapText="1" shrinkToFit="1"/>
    </xf>
    <xf numFmtId="182" fontId="25" fillId="0" borderId="63" xfId="4" applyNumberFormat="1" applyFont="1" applyFill="1" applyBorder="1" applyAlignment="1">
      <alignment vertical="center" shrinkToFit="1"/>
    </xf>
    <xf numFmtId="182" fontId="26" fillId="0" borderId="64" xfId="4" applyNumberFormat="1" applyFont="1" applyFill="1" applyBorder="1" applyAlignment="1">
      <alignment vertical="center" shrinkToFit="1"/>
    </xf>
    <xf numFmtId="182" fontId="25" fillId="0" borderId="64" xfId="4" applyNumberFormat="1" applyFont="1" applyFill="1" applyBorder="1" applyAlignment="1">
      <alignment vertical="center" shrinkToFit="1"/>
    </xf>
    <xf numFmtId="182" fontId="25" fillId="0" borderId="65" xfId="4" applyNumberFormat="1" applyFont="1" applyFill="1" applyBorder="1" applyAlignment="1">
      <alignment vertical="center" shrinkToFit="1"/>
    </xf>
    <xf numFmtId="183" fontId="27" fillId="0" borderId="66" xfId="5" applyNumberFormat="1" applyFont="1" applyFill="1" applyBorder="1" applyAlignment="1">
      <alignment horizontal="center" vertical="center" shrinkToFit="1"/>
    </xf>
    <xf numFmtId="183" fontId="27" fillId="0" borderId="67" xfId="5" applyNumberFormat="1" applyFont="1" applyFill="1" applyBorder="1" applyAlignment="1">
      <alignment horizontal="center" vertical="center" shrinkToFit="1"/>
    </xf>
    <xf numFmtId="183" fontId="25" fillId="0" borderId="62" xfId="5" applyNumberFormat="1" applyFont="1" applyFill="1" applyBorder="1" applyAlignment="1">
      <alignment horizontal="center" vertical="center" shrinkToFit="1"/>
    </xf>
    <xf numFmtId="183" fontId="25" fillId="0" borderId="68" xfId="5" applyNumberFormat="1" applyFont="1" applyFill="1" applyBorder="1" applyAlignment="1">
      <alignment horizontal="center" vertical="center" shrinkToFit="1"/>
    </xf>
    <xf numFmtId="183" fontId="25" fillId="7" borderId="66" xfId="2" applyNumberFormat="1" applyFont="1" applyFill="1" applyBorder="1" applyAlignment="1">
      <alignment horizontal="center" vertical="center" shrinkToFit="1"/>
    </xf>
    <xf numFmtId="179" fontId="25" fillId="0" borderId="69" xfId="6" applyFont="1" applyBorder="1" applyAlignment="1">
      <alignment horizontal="left" vertical="center" wrapText="1" shrinkToFit="1"/>
    </xf>
    <xf numFmtId="0" fontId="25" fillId="9" borderId="33" xfId="8" applyFont="1" applyFill="1" applyBorder="1" applyAlignment="1">
      <alignment horizontal="center" vertical="center" shrinkToFit="1"/>
    </xf>
    <xf numFmtId="0" fontId="25" fillId="8" borderId="36" xfId="8" applyFont="1" applyFill="1" applyBorder="1" applyAlignment="1">
      <alignment horizontal="left" vertical="center" wrapText="1" shrinkToFit="1"/>
    </xf>
    <xf numFmtId="182" fontId="25" fillId="0" borderId="32" xfId="4" applyNumberFormat="1" applyFont="1" applyFill="1" applyBorder="1" applyAlignment="1">
      <alignment vertical="center" shrinkToFit="1"/>
    </xf>
    <xf numFmtId="182" fontId="26" fillId="0" borderId="37" xfId="4" applyNumberFormat="1" applyFont="1" applyFill="1" applyBorder="1" applyAlignment="1">
      <alignment vertical="center" shrinkToFit="1"/>
    </xf>
    <xf numFmtId="182" fontId="25" fillId="0" borderId="37" xfId="4" applyNumberFormat="1" applyFont="1" applyFill="1" applyBorder="1" applyAlignment="1">
      <alignment vertical="center" shrinkToFit="1"/>
    </xf>
    <xf numFmtId="182" fontId="25" fillId="0" borderId="34" xfId="4" applyNumberFormat="1" applyFont="1" applyFill="1" applyBorder="1" applyAlignment="1">
      <alignment vertical="center" shrinkToFit="1"/>
    </xf>
    <xf numFmtId="183" fontId="27" fillId="0" borderId="33" xfId="5" applyNumberFormat="1" applyFont="1" applyFill="1" applyBorder="1" applyAlignment="1">
      <alignment horizontal="center" vertical="center" shrinkToFit="1"/>
    </xf>
    <xf numFmtId="183" fontId="27" fillId="0" borderId="37" xfId="5" applyNumberFormat="1" applyFont="1" applyFill="1" applyBorder="1" applyAlignment="1">
      <alignment horizontal="center" vertical="center" shrinkToFit="1"/>
    </xf>
    <xf numFmtId="183" fontId="25" fillId="0" borderId="36" xfId="5" applyNumberFormat="1" applyFont="1" applyFill="1" applyBorder="1" applyAlignment="1">
      <alignment horizontal="center" vertical="center" shrinkToFit="1"/>
    </xf>
    <xf numFmtId="183" fontId="25" fillId="0" borderId="38" xfId="5" applyNumberFormat="1" applyFont="1" applyFill="1" applyBorder="1" applyAlignment="1">
      <alignment horizontal="center" vertical="center" shrinkToFit="1"/>
    </xf>
    <xf numFmtId="183" fontId="25" fillId="7" borderId="33" xfId="2" applyNumberFormat="1" applyFont="1" applyFill="1" applyBorder="1" applyAlignment="1">
      <alignment horizontal="center" vertical="center" shrinkToFit="1"/>
    </xf>
    <xf numFmtId="179" fontId="25" fillId="0" borderId="34" xfId="6" applyFont="1" applyBorder="1" applyAlignment="1">
      <alignment horizontal="left" vertical="center" wrapText="1" shrinkToFit="1"/>
    </xf>
    <xf numFmtId="179" fontId="25" fillId="0" borderId="34" xfId="6" applyFont="1" applyFill="1" applyBorder="1" applyAlignment="1">
      <alignment horizontal="left" vertical="center" wrapText="1" shrinkToFit="1"/>
    </xf>
    <xf numFmtId="0" fontId="25" fillId="9" borderId="40" xfId="8" applyFont="1" applyFill="1" applyBorder="1" applyAlignment="1">
      <alignment horizontal="center" vertical="center" shrinkToFit="1"/>
    </xf>
    <xf numFmtId="0" fontId="25" fillId="8" borderId="48" xfId="8" applyFont="1" applyFill="1" applyBorder="1" applyAlignment="1">
      <alignment horizontal="left" vertical="center" wrapText="1" shrinkToFit="1"/>
    </xf>
    <xf numFmtId="182" fontId="25" fillId="0" borderId="45" xfId="4" applyNumberFormat="1" applyFont="1" applyFill="1" applyBorder="1" applyAlignment="1">
      <alignment vertical="center" shrinkToFit="1"/>
    </xf>
    <xf numFmtId="182" fontId="26" fillId="0" borderId="46" xfId="4" applyNumberFormat="1" applyFont="1" applyFill="1" applyBorder="1" applyAlignment="1">
      <alignment vertical="center" shrinkToFit="1"/>
    </xf>
    <xf numFmtId="182" fontId="25" fillId="0" borderId="46" xfId="4" applyNumberFormat="1" applyFont="1" applyFill="1" applyBorder="1" applyAlignment="1">
      <alignment vertical="center" shrinkToFit="1"/>
    </xf>
    <xf numFmtId="183" fontId="27" fillId="0" borderId="40" xfId="5" applyNumberFormat="1" applyFont="1" applyFill="1" applyBorder="1" applyAlignment="1">
      <alignment horizontal="center" vertical="center" shrinkToFit="1"/>
    </xf>
    <xf numFmtId="183" fontId="27" fillId="0" borderId="47" xfId="5" applyNumberFormat="1" applyFont="1" applyFill="1" applyBorder="1" applyAlignment="1">
      <alignment horizontal="center" vertical="center" shrinkToFit="1"/>
    </xf>
    <xf numFmtId="183" fontId="25" fillId="0" borderId="48" xfId="5" applyNumberFormat="1" applyFont="1" applyFill="1" applyBorder="1" applyAlignment="1">
      <alignment horizontal="center" vertical="center" shrinkToFit="1"/>
    </xf>
    <xf numFmtId="183" fontId="25" fillId="0" borderId="49" xfId="5" applyNumberFormat="1" applyFont="1" applyFill="1" applyBorder="1" applyAlignment="1">
      <alignment horizontal="center" vertical="center" shrinkToFit="1"/>
    </xf>
    <xf numFmtId="183" fontId="25" fillId="7" borderId="40" xfId="2" applyNumberFormat="1" applyFont="1" applyFill="1" applyBorder="1" applyAlignment="1">
      <alignment horizontal="center" vertical="center" shrinkToFit="1"/>
    </xf>
    <xf numFmtId="179" fontId="25" fillId="0" borderId="41" xfId="6" applyFont="1" applyFill="1" applyBorder="1" applyAlignment="1">
      <alignment horizontal="left" vertical="center" wrapText="1" shrinkToFit="1"/>
    </xf>
    <xf numFmtId="0" fontId="18" fillId="8" borderId="70" xfId="8" applyFont="1" applyFill="1" applyBorder="1" applyAlignment="1">
      <alignment horizontal="center" vertical="center" shrinkToFit="1"/>
    </xf>
    <xf numFmtId="0" fontId="18" fillId="8" borderId="71" xfId="8" applyFont="1" applyFill="1" applyBorder="1" applyAlignment="1">
      <alignment horizontal="center" vertical="center" shrinkToFit="1"/>
    </xf>
    <xf numFmtId="41" fontId="18" fillId="8" borderId="70" xfId="1" applyFont="1" applyFill="1" applyBorder="1" applyAlignment="1">
      <alignment horizontal="center" vertical="center" shrinkToFit="1"/>
    </xf>
    <xf numFmtId="41" fontId="18" fillId="8" borderId="72" xfId="1" applyFont="1" applyFill="1" applyBorder="1" applyAlignment="1">
      <alignment horizontal="center" vertical="center" shrinkToFit="1"/>
    </xf>
    <xf numFmtId="41" fontId="18" fillId="8" borderId="73" xfId="1" applyFont="1" applyFill="1" applyBorder="1" applyAlignment="1">
      <alignment horizontal="center" vertical="center" shrinkToFit="1"/>
    </xf>
    <xf numFmtId="182" fontId="18" fillId="8" borderId="74" xfId="4" applyNumberFormat="1" applyFont="1" applyFill="1" applyBorder="1">
      <alignment vertical="center"/>
    </xf>
    <xf numFmtId="182" fontId="30" fillId="8" borderId="75" xfId="4" applyNumberFormat="1" applyFont="1" applyFill="1" applyBorder="1" applyAlignment="1">
      <alignment vertical="center"/>
    </xf>
    <xf numFmtId="182" fontId="18" fillId="8" borderId="75" xfId="4" applyNumberFormat="1" applyFont="1" applyFill="1" applyBorder="1">
      <alignment vertical="center"/>
    </xf>
    <xf numFmtId="182" fontId="18" fillId="8" borderId="76" xfId="4" applyNumberFormat="1" applyFont="1" applyFill="1" applyBorder="1">
      <alignment vertical="center"/>
    </xf>
    <xf numFmtId="183" fontId="17" fillId="8" borderId="77" xfId="5" applyNumberFormat="1" applyFont="1" applyFill="1" applyBorder="1" applyAlignment="1">
      <alignment horizontal="center" vertical="center"/>
    </xf>
    <xf numFmtId="183" fontId="17" fillId="8" borderId="78" xfId="5" applyNumberFormat="1" applyFont="1" applyFill="1" applyBorder="1" applyAlignment="1">
      <alignment horizontal="center" vertical="center"/>
    </xf>
    <xf numFmtId="183" fontId="18" fillId="8" borderId="79" xfId="5" applyNumberFormat="1" applyFont="1" applyFill="1" applyBorder="1" applyAlignment="1">
      <alignment horizontal="center" vertical="center" wrapText="1"/>
    </xf>
    <xf numFmtId="183" fontId="18" fillId="8" borderId="80" xfId="5" applyNumberFormat="1" applyFont="1" applyFill="1" applyBorder="1" applyAlignment="1">
      <alignment horizontal="center" vertical="center" wrapText="1"/>
    </xf>
    <xf numFmtId="183" fontId="18" fillId="8" borderId="77" xfId="2" applyNumberFormat="1" applyFont="1" applyFill="1" applyBorder="1" applyAlignment="1">
      <alignment horizontal="center" vertical="center"/>
    </xf>
    <xf numFmtId="177" fontId="18" fillId="8" borderId="73" xfId="5" applyNumberFormat="1" applyFont="1" applyFill="1" applyBorder="1" applyAlignment="1">
      <alignment horizontal="left" vertical="center" wrapText="1"/>
    </xf>
    <xf numFmtId="0" fontId="25" fillId="10" borderId="81" xfId="8" applyFont="1" applyFill="1" applyBorder="1" applyAlignment="1">
      <alignment horizontal="left" vertical="center" shrinkToFit="1"/>
    </xf>
    <xf numFmtId="0" fontId="25" fillId="10" borderId="66" xfId="8" applyFont="1" applyFill="1" applyBorder="1" applyAlignment="1">
      <alignment horizontal="center" vertical="center" shrinkToFit="1"/>
    </xf>
    <xf numFmtId="0" fontId="25" fillId="10" borderId="69" xfId="8" applyFont="1" applyFill="1" applyBorder="1" applyAlignment="1">
      <alignment horizontal="left" vertical="center" wrapText="1" shrinkToFit="1"/>
    </xf>
    <xf numFmtId="182" fontId="25" fillId="0" borderId="82" xfId="4" applyNumberFormat="1" applyFont="1" applyFill="1" applyBorder="1" applyAlignment="1">
      <alignment vertical="center" shrinkToFit="1"/>
    </xf>
    <xf numFmtId="182" fontId="26" fillId="0" borderId="83" xfId="4" applyNumberFormat="1" applyFont="1" applyFill="1" applyBorder="1" applyAlignment="1">
      <alignment vertical="center" shrinkToFit="1"/>
    </xf>
    <xf numFmtId="182" fontId="25" fillId="0" borderId="83" xfId="4" applyNumberFormat="1" applyFont="1" applyFill="1" applyBorder="1" applyAlignment="1">
      <alignment vertical="center" shrinkToFit="1"/>
    </xf>
    <xf numFmtId="182" fontId="25" fillId="0" borderId="84" xfId="4" applyNumberFormat="1" applyFont="1" applyFill="1" applyBorder="1" applyAlignment="1">
      <alignment vertical="center" shrinkToFit="1"/>
    </xf>
    <xf numFmtId="179" fontId="25" fillId="0" borderId="69" xfId="6" applyFont="1" applyBorder="1" applyAlignment="1">
      <alignment horizontal="left" vertical="center" wrapText="1"/>
    </xf>
    <xf numFmtId="0" fontId="25" fillId="10" borderId="32" xfId="8" applyFont="1" applyFill="1" applyBorder="1" applyAlignment="1">
      <alignment horizontal="left" vertical="center" shrinkToFit="1"/>
    </xf>
    <xf numFmtId="0" fontId="25" fillId="10" borderId="33" xfId="8" applyFont="1" applyFill="1" applyBorder="1" applyAlignment="1">
      <alignment horizontal="center" vertical="center" shrinkToFit="1"/>
    </xf>
    <xf numFmtId="0" fontId="25" fillId="10" borderId="34" xfId="8" applyFont="1" applyFill="1" applyBorder="1" applyAlignment="1">
      <alignment horizontal="left" vertical="center" wrapText="1" shrinkToFit="1"/>
    </xf>
    <xf numFmtId="179" fontId="25" fillId="0" borderId="34" xfId="6" applyFont="1" applyBorder="1" applyAlignment="1">
      <alignment horizontal="left" vertical="center" wrapText="1"/>
    </xf>
    <xf numFmtId="179" fontId="25" fillId="0" borderId="85" xfId="6" applyFont="1" applyBorder="1" applyAlignment="1">
      <alignment horizontal="left" vertical="center" wrapText="1"/>
    </xf>
    <xf numFmtId="179" fontId="25" fillId="0" borderId="34" xfId="6" quotePrefix="1" applyFont="1" applyBorder="1" applyAlignment="1">
      <alignment horizontal="left" vertical="center" wrapText="1"/>
    </xf>
    <xf numFmtId="0" fontId="25" fillId="10" borderId="39" xfId="8" applyFont="1" applyFill="1" applyBorder="1" applyAlignment="1">
      <alignment horizontal="left" vertical="center" shrinkToFit="1"/>
    </xf>
    <xf numFmtId="0" fontId="25" fillId="10" borderId="40" xfId="8" applyFont="1" applyFill="1" applyBorder="1" applyAlignment="1">
      <alignment horizontal="center" vertical="center" shrinkToFit="1"/>
    </xf>
    <xf numFmtId="0" fontId="25" fillId="10" borderId="41" xfId="8" applyFont="1" applyFill="1" applyBorder="1" applyAlignment="1">
      <alignment horizontal="left" vertical="center" wrapText="1" shrinkToFit="1"/>
    </xf>
    <xf numFmtId="0" fontId="18" fillId="10" borderId="86" xfId="8" applyFont="1" applyFill="1" applyBorder="1" applyAlignment="1">
      <alignment horizontal="center" vertical="center" shrinkToFit="1"/>
    </xf>
    <xf numFmtId="0" fontId="18" fillId="10" borderId="87" xfId="8" applyFont="1" applyFill="1" applyBorder="1" applyAlignment="1">
      <alignment horizontal="center" vertical="center" shrinkToFit="1"/>
    </xf>
    <xf numFmtId="41" fontId="18" fillId="10" borderId="86" xfId="1" applyFont="1" applyFill="1" applyBorder="1" applyAlignment="1">
      <alignment horizontal="center" vertical="center" shrinkToFit="1"/>
    </xf>
    <xf numFmtId="41" fontId="18" fillId="10" borderId="88" xfId="1" applyFont="1" applyFill="1" applyBorder="1" applyAlignment="1">
      <alignment horizontal="center" vertical="center" shrinkToFit="1"/>
    </xf>
    <xf numFmtId="41" fontId="18" fillId="10" borderId="89" xfId="1" applyFont="1" applyFill="1" applyBorder="1" applyAlignment="1">
      <alignment horizontal="center" vertical="center" shrinkToFit="1"/>
    </xf>
    <xf numFmtId="182" fontId="18" fillId="10" borderId="90" xfId="4" applyNumberFormat="1" applyFont="1" applyFill="1" applyBorder="1">
      <alignment vertical="center"/>
    </xf>
    <xf numFmtId="182" fontId="30" fillId="10" borderId="91" xfId="4" applyNumberFormat="1" applyFont="1" applyFill="1" applyBorder="1" applyAlignment="1">
      <alignment vertical="center"/>
    </xf>
    <xf numFmtId="182" fontId="18" fillId="10" borderId="91" xfId="4" applyNumberFormat="1" applyFont="1" applyFill="1" applyBorder="1">
      <alignment vertical="center"/>
    </xf>
    <xf numFmtId="182" fontId="18" fillId="10" borderId="92" xfId="4" applyNumberFormat="1" applyFont="1" applyFill="1" applyBorder="1">
      <alignment vertical="center"/>
    </xf>
    <xf numFmtId="183" fontId="17" fillId="10" borderId="93" xfId="5" applyNumberFormat="1" applyFont="1" applyFill="1" applyBorder="1" applyAlignment="1">
      <alignment horizontal="center" vertical="center"/>
    </xf>
    <xf numFmtId="183" fontId="17" fillId="10" borderId="94" xfId="5" applyNumberFormat="1" applyFont="1" applyFill="1" applyBorder="1" applyAlignment="1">
      <alignment horizontal="center" vertical="center"/>
    </xf>
    <xf numFmtId="183" fontId="18" fillId="10" borderId="95" xfId="5" applyNumberFormat="1" applyFont="1" applyFill="1" applyBorder="1" applyAlignment="1">
      <alignment horizontal="center" vertical="center" wrapText="1"/>
    </xf>
    <xf numFmtId="183" fontId="18" fillId="10" borderId="96" xfId="5" applyNumberFormat="1" applyFont="1" applyFill="1" applyBorder="1" applyAlignment="1">
      <alignment horizontal="center" vertical="center" wrapText="1"/>
    </xf>
    <xf numFmtId="183" fontId="18" fillId="10" borderId="93" xfId="8" applyNumberFormat="1" applyFont="1" applyFill="1" applyBorder="1" applyAlignment="1">
      <alignment horizontal="center" vertical="center"/>
    </xf>
    <xf numFmtId="176" fontId="18" fillId="10" borderId="97" xfId="4" applyNumberFormat="1" applyFont="1" applyFill="1" applyBorder="1" applyAlignment="1">
      <alignment horizontal="left" vertical="center"/>
    </xf>
    <xf numFmtId="0" fontId="31" fillId="4" borderId="19" xfId="3" applyFont="1" applyFill="1" applyBorder="1" applyAlignment="1">
      <alignment horizontal="center" vertical="center" shrinkToFit="1"/>
    </xf>
    <xf numFmtId="0" fontId="18" fillId="4" borderId="10" xfId="3" applyFont="1" applyFill="1" applyBorder="1" applyAlignment="1">
      <alignment horizontal="center" vertical="center" wrapText="1"/>
    </xf>
    <xf numFmtId="0" fontId="31" fillId="4" borderId="10" xfId="3" applyFont="1" applyFill="1" applyBorder="1" applyAlignment="1">
      <alignment horizontal="center" vertical="center" shrinkToFit="1"/>
    </xf>
    <xf numFmtId="41" fontId="31" fillId="4" borderId="19" xfId="4" applyFont="1" applyFill="1" applyBorder="1">
      <alignment vertical="center"/>
    </xf>
    <xf numFmtId="41" fontId="31" fillId="4" borderId="20" xfId="4" applyFont="1" applyFill="1" applyBorder="1">
      <alignment vertical="center"/>
    </xf>
    <xf numFmtId="41" fontId="31" fillId="4" borderId="21" xfId="4" applyFont="1" applyFill="1" applyBorder="1">
      <alignment vertical="center"/>
    </xf>
    <xf numFmtId="182" fontId="31" fillId="4" borderId="19" xfId="4" applyNumberFormat="1" applyFont="1" applyFill="1" applyBorder="1">
      <alignment vertical="center"/>
    </xf>
    <xf numFmtId="182" fontId="30" fillId="4" borderId="20" xfId="4" applyNumberFormat="1" applyFont="1" applyFill="1" applyBorder="1" applyAlignment="1">
      <alignment vertical="center"/>
    </xf>
    <xf numFmtId="182" fontId="31" fillId="4" borderId="20" xfId="4" applyNumberFormat="1" applyFont="1" applyFill="1" applyBorder="1">
      <alignment vertical="center"/>
    </xf>
    <xf numFmtId="182" fontId="31" fillId="4" borderId="21" xfId="4" applyNumberFormat="1" applyFont="1" applyFill="1" applyBorder="1">
      <alignment vertical="center"/>
    </xf>
    <xf numFmtId="183" fontId="32" fillId="4" borderId="22" xfId="5" applyNumberFormat="1" applyFont="1" applyFill="1" applyBorder="1" applyAlignment="1">
      <alignment horizontal="center" vertical="center"/>
    </xf>
    <xf numFmtId="183" fontId="31" fillId="4" borderId="20" xfId="5" applyNumberFormat="1" applyFont="1" applyFill="1" applyBorder="1" applyAlignment="1">
      <alignment horizontal="center" vertical="center" wrapText="1"/>
    </xf>
    <xf numFmtId="183" fontId="31" fillId="4" borderId="23" xfId="5" applyNumberFormat="1" applyFont="1" applyFill="1" applyBorder="1" applyAlignment="1">
      <alignment horizontal="center" vertical="center" wrapText="1"/>
    </xf>
    <xf numFmtId="183" fontId="31" fillId="4" borderId="98" xfId="5" applyNumberFormat="1" applyFont="1" applyFill="1" applyBorder="1" applyAlignment="1">
      <alignment horizontal="center" vertical="center" wrapText="1"/>
    </xf>
    <xf numFmtId="183" fontId="31" fillId="4" borderId="22" xfId="2" applyNumberFormat="1" applyFont="1" applyFill="1" applyBorder="1" applyAlignment="1">
      <alignment horizontal="center" vertical="center" wrapText="1"/>
    </xf>
    <xf numFmtId="176" fontId="25" fillId="4" borderId="21" xfId="5" applyNumberFormat="1" applyFont="1" applyFill="1" applyBorder="1" applyAlignment="1">
      <alignment horizontal="left" vertical="center"/>
    </xf>
    <xf numFmtId="0" fontId="25" fillId="0" borderId="0" xfId="3" applyNumberFormat="1" applyFont="1">
      <alignment vertical="center"/>
    </xf>
    <xf numFmtId="0" fontId="25" fillId="0" borderId="0" xfId="3" applyNumberFormat="1" applyFont="1" applyAlignment="1">
      <alignment vertical="center"/>
    </xf>
    <xf numFmtId="10" fontId="0" fillId="0" borderId="0" xfId="5" applyNumberFormat="1" applyFont="1" applyAlignment="1">
      <alignment horizontal="center" vertical="center"/>
    </xf>
  </cellXfs>
  <cellStyles count="9">
    <cellStyle name="" xfId="6"/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110" xfId="3"/>
    <cellStyle name="표준 1234" xfId="8"/>
    <cellStyle name="표준 3 2" xfId="7"/>
  </cellStyles>
  <dxfs count="16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1.%20&#51068;&#51068;%20&#49892;&#51201;%20&#48143;%20&#49373;&#49328;&#49457;%20&#48372;&#44256;%20&#51088;&#47308;\&#51068;&#51068;%20&#49373;&#49328;&#49457;%20&#48372;&#44256;\&#51068;&#51068;%20&#49373;&#49328;&#49457;%20&#48516;&#49437;%20&#48143;%20&#48372;&#44256;\2026&#45380;\04&#50900;\&#49324;&#52636;&#49373;&#49328;&#54016;%20&#51068;&#51068;%20&#49373;&#49328;&#49457;&#48372;&#44256;_2026040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보고서(최종)"/>
      <sheetName val="MES 생산성분석"/>
      <sheetName val="비가동 및 불량"/>
      <sheetName val="공수보고서"/>
      <sheetName val="비가동요약"/>
      <sheetName val="비가동 유형(MES기준)"/>
      <sheetName val="조정"/>
      <sheetName val="취합"/>
      <sheetName val="MES 생산성분석 일별 취합"/>
      <sheetName val="백데이터&gt;&gt;"/>
      <sheetName val="작업지시종합조회"/>
      <sheetName val="품목별불량"/>
      <sheetName val="비가동데이터"/>
      <sheetName val="실시간비가동"/>
      <sheetName val="공수정보조회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59"/>
  <sheetViews>
    <sheetView showGridLines="0" tabSelected="1" zoomScale="85" zoomScaleNormal="85" workbookViewId="0">
      <pane xSplit="3" ySplit="6" topLeftCell="D7" activePane="bottomRight" state="frozen"/>
      <selection pane="topRight" activeCell="I1" sqref="I1"/>
      <selection pane="bottomLeft" activeCell="A7" sqref="A7"/>
      <selection pane="bottomRight" activeCell="D20" sqref="D20"/>
    </sheetView>
  </sheetViews>
  <sheetFormatPr defaultColWidth="10" defaultRowHeight="24.95" customHeight="1" x14ac:dyDescent="0.15"/>
  <cols>
    <col min="1" max="1" width="23.625" style="1" customWidth="1"/>
    <col min="2" max="2" width="9.75" style="2" hidden="1" customWidth="1"/>
    <col min="3" max="3" width="26.375" style="3" customWidth="1"/>
    <col min="4" max="4" width="9.5" style="1" customWidth="1"/>
    <col min="5" max="5" width="9.375" style="1" customWidth="1"/>
    <col min="6" max="6" width="10.375" style="1" customWidth="1"/>
    <col min="7" max="7" width="7.125" style="4" customWidth="1"/>
    <col min="8" max="8" width="7.625" style="5" customWidth="1"/>
    <col min="9" max="11" width="7.125" style="4" customWidth="1"/>
    <col min="12" max="12" width="8.625" style="6" customWidth="1"/>
    <col min="13" max="15" width="8.625" style="7" customWidth="1"/>
    <col min="16" max="16" width="8.625" style="8" customWidth="1"/>
    <col min="17" max="17" width="51.625" style="9" customWidth="1"/>
    <col min="18" max="16384" width="10" style="1"/>
  </cols>
  <sheetData>
    <row r="1" spans="1:17" ht="5.0999999999999996" customHeight="1" x14ac:dyDescent="0.15"/>
    <row r="2" spans="1:17" ht="39.950000000000003" customHeight="1" x14ac:dyDescent="0.15">
      <c r="A2" s="10" t="s">
        <v>0</v>
      </c>
      <c r="B2" s="11"/>
      <c r="C2" s="10"/>
      <c r="D2" s="12">
        <v>46115</v>
      </c>
      <c r="E2" s="12"/>
      <c r="F2" s="12"/>
      <c r="G2" s="12"/>
      <c r="H2" s="12"/>
      <c r="I2" s="12"/>
      <c r="J2" s="12"/>
      <c r="K2" s="12"/>
      <c r="L2" s="13"/>
      <c r="M2" s="14"/>
      <c r="N2" s="15"/>
      <c r="O2" s="16"/>
      <c r="P2" s="17"/>
      <c r="Q2" s="18"/>
    </row>
    <row r="3" spans="1:17" s="19" customFormat="1" ht="24.95" customHeight="1" thickBot="1" x14ac:dyDescent="0.25">
      <c r="A3" s="20" t="s">
        <v>1</v>
      </c>
      <c r="B3" s="2"/>
      <c r="C3" s="3"/>
      <c r="G3" s="21"/>
      <c r="H3" s="22">
        <v>1.5766898001553838E-2</v>
      </c>
      <c r="I3" s="23"/>
      <c r="J3" s="23"/>
      <c r="K3" s="23"/>
      <c r="L3" s="6"/>
      <c r="M3" s="7"/>
      <c r="N3" s="24"/>
      <c r="O3" s="25" t="s">
        <v>2</v>
      </c>
      <c r="P3" s="24"/>
      <c r="Q3" s="9"/>
    </row>
    <row r="4" spans="1:17" s="19" customFormat="1" ht="24.95" customHeight="1" thickTop="1" thickBot="1" x14ac:dyDescent="0.2">
      <c r="A4" s="26" t="s">
        <v>3</v>
      </c>
      <c r="B4" s="27"/>
      <c r="C4" s="28" t="s">
        <v>4</v>
      </c>
      <c r="D4" s="29" t="s">
        <v>5</v>
      </c>
      <c r="E4" s="30"/>
      <c r="F4" s="31"/>
      <c r="G4" s="32" t="s">
        <v>6</v>
      </c>
      <c r="H4" s="33"/>
      <c r="I4" s="33"/>
      <c r="J4" s="33"/>
      <c r="K4" s="34"/>
      <c r="L4" s="35" t="s">
        <v>7</v>
      </c>
      <c r="M4" s="35"/>
      <c r="N4" s="35"/>
      <c r="O4" s="36" t="s">
        <v>8</v>
      </c>
      <c r="P4" s="37" t="s">
        <v>9</v>
      </c>
      <c r="Q4" s="38" t="s">
        <v>10</v>
      </c>
    </row>
    <row r="5" spans="1:17" ht="24.95" customHeight="1" thickBot="1" x14ac:dyDescent="0.2">
      <c r="A5" s="39"/>
      <c r="B5" s="40" t="s">
        <v>11</v>
      </c>
      <c r="C5" s="41"/>
      <c r="D5" s="42" t="s">
        <v>12</v>
      </c>
      <c r="E5" s="43" t="s">
        <v>13</v>
      </c>
      <c r="F5" s="44" t="s">
        <v>14</v>
      </c>
      <c r="G5" s="45" t="s">
        <v>15</v>
      </c>
      <c r="H5" s="46" t="s">
        <v>16</v>
      </c>
      <c r="I5" s="46" t="s">
        <v>17</v>
      </c>
      <c r="J5" s="46" t="s">
        <v>18</v>
      </c>
      <c r="K5" s="47" t="s">
        <v>19</v>
      </c>
      <c r="L5" s="48" t="s">
        <v>20</v>
      </c>
      <c r="M5" s="49" t="s">
        <v>21</v>
      </c>
      <c r="N5" s="50" t="s">
        <v>22</v>
      </c>
      <c r="O5" s="51"/>
      <c r="P5" s="52"/>
      <c r="Q5" s="53"/>
    </row>
    <row r="6" spans="1:17" ht="24.95" customHeight="1" thickBot="1" x14ac:dyDescent="0.2">
      <c r="A6" s="54" t="s">
        <v>23</v>
      </c>
      <c r="B6" s="55"/>
      <c r="C6" s="56"/>
      <c r="D6" s="57">
        <v>284561</v>
      </c>
      <c r="E6" s="58">
        <v>135</v>
      </c>
      <c r="F6" s="59">
        <v>284696</v>
      </c>
      <c r="G6" s="60">
        <v>459.50700000000001</v>
      </c>
      <c r="H6" s="61">
        <v>7.2450000000000001</v>
      </c>
      <c r="I6" s="62">
        <v>443.73</v>
      </c>
      <c r="J6" s="62">
        <v>15.777000000000001</v>
      </c>
      <c r="K6" s="63">
        <v>400.56100000000004</v>
      </c>
      <c r="L6" s="64">
        <v>0.99952580998679297</v>
      </c>
      <c r="M6" s="65">
        <v>0.90271336172897942</v>
      </c>
      <c r="N6" s="66">
        <v>0.96566537615313808</v>
      </c>
      <c r="O6" s="67">
        <v>0.87130567755033073</v>
      </c>
      <c r="P6" s="68">
        <v>0.86204545454545467</v>
      </c>
      <c r="Q6" s="69"/>
    </row>
    <row r="7" spans="1:17" ht="24.95" customHeight="1" x14ac:dyDescent="0.15">
      <c r="A7" s="70" t="s">
        <v>24</v>
      </c>
      <c r="B7" s="71" t="e">
        <v>#N/A</v>
      </c>
      <c r="C7" s="72" t="e">
        <v>#N/A</v>
      </c>
      <c r="D7" s="73">
        <v>0</v>
      </c>
      <c r="E7" s="74">
        <v>0</v>
      </c>
      <c r="F7" s="75">
        <v>0</v>
      </c>
      <c r="G7" s="76">
        <v>0</v>
      </c>
      <c r="H7" s="77"/>
      <c r="I7" s="78">
        <v>0</v>
      </c>
      <c r="J7" s="78">
        <v>0</v>
      </c>
      <c r="K7" s="79">
        <v>0</v>
      </c>
      <c r="L7" s="80" t="e">
        <v>#DIV/0!</v>
      </c>
      <c r="M7" s="81" t="e">
        <v>#DIV/0!</v>
      </c>
      <c r="N7" s="82" t="e">
        <v>#DIV/0!</v>
      </c>
      <c r="O7" s="83" t="e">
        <v>#DIV/0!</v>
      </c>
      <c r="P7" s="84">
        <v>0.87</v>
      </c>
      <c r="Q7" s="85"/>
    </row>
    <row r="8" spans="1:17" ht="24.95" customHeight="1" x14ac:dyDescent="0.15">
      <c r="A8" s="86" t="s">
        <v>25</v>
      </c>
      <c r="B8" s="87">
        <v>432800162</v>
      </c>
      <c r="C8" s="88" t="s">
        <v>84</v>
      </c>
      <c r="D8" s="89">
        <v>1548</v>
      </c>
      <c r="E8" s="90">
        <v>0</v>
      </c>
      <c r="F8" s="91">
        <v>1548</v>
      </c>
      <c r="G8" s="92">
        <v>9.1009999999999991</v>
      </c>
      <c r="H8" s="93">
        <v>0.77500000000000002</v>
      </c>
      <c r="I8" s="94">
        <v>8.1739999999999995</v>
      </c>
      <c r="J8" s="94">
        <v>0.92700000000000005</v>
      </c>
      <c r="K8" s="95">
        <v>8.17</v>
      </c>
      <c r="L8" s="96">
        <v>1</v>
      </c>
      <c r="M8" s="97">
        <v>0.9995106435037926</v>
      </c>
      <c r="N8" s="98">
        <v>0.89814306120206577</v>
      </c>
      <c r="O8" s="99">
        <v>0.89770354906054295</v>
      </c>
      <c r="P8" s="100">
        <v>0.87</v>
      </c>
      <c r="Q8" s="101" t="s">
        <v>26</v>
      </c>
    </row>
    <row r="9" spans="1:17" ht="24.95" customHeight="1" x14ac:dyDescent="0.15">
      <c r="A9" s="86" t="s">
        <v>27</v>
      </c>
      <c r="B9" s="87" t="e">
        <v>#N/A</v>
      </c>
      <c r="C9" s="88" t="e">
        <v>#N/A</v>
      </c>
      <c r="D9" s="89">
        <v>0</v>
      </c>
      <c r="E9" s="90">
        <v>0</v>
      </c>
      <c r="F9" s="91">
        <v>0</v>
      </c>
      <c r="G9" s="92">
        <v>0</v>
      </c>
      <c r="H9" s="93"/>
      <c r="I9" s="94">
        <v>0</v>
      </c>
      <c r="J9" s="94">
        <v>0</v>
      </c>
      <c r="K9" s="95">
        <v>0</v>
      </c>
      <c r="L9" s="96" t="e">
        <v>#DIV/0!</v>
      </c>
      <c r="M9" s="97" t="e">
        <v>#DIV/0!</v>
      </c>
      <c r="N9" s="98" t="e">
        <v>#DIV/0!</v>
      </c>
      <c r="O9" s="99" t="e">
        <v>#DIV/0!</v>
      </c>
      <c r="P9" s="100">
        <v>0.85</v>
      </c>
      <c r="Q9" s="102"/>
    </row>
    <row r="10" spans="1:17" ht="65.099999999999994" customHeight="1" x14ac:dyDescent="0.15">
      <c r="A10" s="86" t="s">
        <v>28</v>
      </c>
      <c r="B10" s="87">
        <v>522107552</v>
      </c>
      <c r="C10" s="88" t="s">
        <v>85</v>
      </c>
      <c r="D10" s="89">
        <v>900</v>
      </c>
      <c r="E10" s="90">
        <v>0</v>
      </c>
      <c r="F10" s="91">
        <v>900</v>
      </c>
      <c r="G10" s="92">
        <v>16.687999999999999</v>
      </c>
      <c r="H10" s="93"/>
      <c r="I10" s="94">
        <v>16.308</v>
      </c>
      <c r="J10" s="94">
        <v>0.38</v>
      </c>
      <c r="K10" s="95">
        <v>13</v>
      </c>
      <c r="L10" s="96">
        <v>1</v>
      </c>
      <c r="M10" s="97">
        <v>0.79715477066470442</v>
      </c>
      <c r="N10" s="98">
        <v>0.97722914669223404</v>
      </c>
      <c r="O10" s="99">
        <v>0.77900287631831266</v>
      </c>
      <c r="P10" s="100">
        <v>0.83</v>
      </c>
      <c r="Q10" s="102" t="s">
        <v>29</v>
      </c>
    </row>
    <row r="11" spans="1:17" ht="24.95" customHeight="1" x14ac:dyDescent="0.15">
      <c r="A11" s="86" t="s">
        <v>30</v>
      </c>
      <c r="B11" s="87">
        <v>422500012</v>
      </c>
      <c r="C11" s="88" t="s">
        <v>86</v>
      </c>
      <c r="D11" s="89">
        <v>9360</v>
      </c>
      <c r="E11" s="90">
        <v>0</v>
      </c>
      <c r="F11" s="91">
        <v>9360</v>
      </c>
      <c r="G11" s="92">
        <v>16.658000000000001</v>
      </c>
      <c r="H11" s="93"/>
      <c r="I11" s="94">
        <v>16.472000000000001</v>
      </c>
      <c r="J11" s="94">
        <v>0.186</v>
      </c>
      <c r="K11" s="95">
        <v>15.6</v>
      </c>
      <c r="L11" s="96">
        <v>1</v>
      </c>
      <c r="M11" s="97">
        <v>0.94706168042739181</v>
      </c>
      <c r="N11" s="98">
        <v>0.98883419378076598</v>
      </c>
      <c r="O11" s="99">
        <v>0.93648697322607743</v>
      </c>
      <c r="P11" s="100">
        <v>0.85</v>
      </c>
      <c r="Q11" s="102"/>
    </row>
    <row r="12" spans="1:17" ht="24.95" customHeight="1" x14ac:dyDescent="0.15">
      <c r="A12" s="86" t="s">
        <v>31</v>
      </c>
      <c r="B12" s="87" t="e">
        <v>#N/A</v>
      </c>
      <c r="C12" s="88" t="e">
        <v>#N/A</v>
      </c>
      <c r="D12" s="89">
        <v>0</v>
      </c>
      <c r="E12" s="90">
        <v>0</v>
      </c>
      <c r="F12" s="91">
        <v>0</v>
      </c>
      <c r="G12" s="92">
        <v>0</v>
      </c>
      <c r="H12" s="93"/>
      <c r="I12" s="94">
        <v>0</v>
      </c>
      <c r="J12" s="94">
        <v>0</v>
      </c>
      <c r="K12" s="95">
        <v>0</v>
      </c>
      <c r="L12" s="96" t="e">
        <v>#DIV/0!</v>
      </c>
      <c r="M12" s="97" t="e">
        <v>#DIV/0!</v>
      </c>
      <c r="N12" s="98" t="e">
        <v>#DIV/0!</v>
      </c>
      <c r="O12" s="99" t="e">
        <v>#DIV/0!</v>
      </c>
      <c r="P12" s="100">
        <v>0.86</v>
      </c>
      <c r="Q12" s="102"/>
    </row>
    <row r="13" spans="1:17" ht="24.95" customHeight="1" x14ac:dyDescent="0.15">
      <c r="A13" s="86" t="s">
        <v>32</v>
      </c>
      <c r="B13" s="87">
        <v>543400006</v>
      </c>
      <c r="C13" s="88" t="s">
        <v>87</v>
      </c>
      <c r="D13" s="89">
        <v>6576</v>
      </c>
      <c r="E13" s="90">
        <v>0</v>
      </c>
      <c r="F13" s="91">
        <v>6576</v>
      </c>
      <c r="G13" s="92">
        <v>20.684000000000005</v>
      </c>
      <c r="H13" s="93"/>
      <c r="I13" s="94">
        <v>20.575000000000003</v>
      </c>
      <c r="J13" s="94">
        <v>0.109</v>
      </c>
      <c r="K13" s="95">
        <v>16.806000000000001</v>
      </c>
      <c r="L13" s="96">
        <v>1</v>
      </c>
      <c r="M13" s="97">
        <v>0.81681652490886991</v>
      </c>
      <c r="N13" s="98">
        <v>0.99473022626184482</v>
      </c>
      <c r="O13" s="99">
        <v>0.81251208663701402</v>
      </c>
      <c r="P13" s="100">
        <v>0.83</v>
      </c>
      <c r="Q13" s="102"/>
    </row>
    <row r="14" spans="1:17" ht="24.95" customHeight="1" x14ac:dyDescent="0.15">
      <c r="A14" s="86" t="s">
        <v>33</v>
      </c>
      <c r="B14" s="87">
        <v>423100292</v>
      </c>
      <c r="C14" s="88" t="s">
        <v>88</v>
      </c>
      <c r="D14" s="89">
        <v>4108</v>
      </c>
      <c r="E14" s="90">
        <v>0</v>
      </c>
      <c r="F14" s="91">
        <v>4108</v>
      </c>
      <c r="G14" s="92">
        <v>8.3369999999999997</v>
      </c>
      <c r="H14" s="93"/>
      <c r="I14" s="94">
        <v>8.0559999999999992</v>
      </c>
      <c r="J14" s="94">
        <v>0.28100000000000003</v>
      </c>
      <c r="K14" s="95">
        <v>6.6180000000000003</v>
      </c>
      <c r="L14" s="96">
        <v>1</v>
      </c>
      <c r="M14" s="97">
        <v>0.82149950347567047</v>
      </c>
      <c r="N14" s="98">
        <v>0.96629483027467911</v>
      </c>
      <c r="O14" s="99">
        <v>0.79381072328175617</v>
      </c>
      <c r="P14" s="100">
        <v>0.84</v>
      </c>
      <c r="Q14" s="103"/>
    </row>
    <row r="15" spans="1:17" ht="24.95" customHeight="1" x14ac:dyDescent="0.15">
      <c r="A15" s="86" t="s">
        <v>34</v>
      </c>
      <c r="B15" s="87">
        <v>423100116</v>
      </c>
      <c r="C15" s="88" t="s">
        <v>89</v>
      </c>
      <c r="D15" s="89">
        <v>11760</v>
      </c>
      <c r="E15" s="90">
        <v>0</v>
      </c>
      <c r="F15" s="91">
        <v>11760</v>
      </c>
      <c r="G15" s="92">
        <v>24.021999999999998</v>
      </c>
      <c r="H15" s="93"/>
      <c r="I15" s="94">
        <v>22.588999999999999</v>
      </c>
      <c r="J15" s="94">
        <v>1.4329999999999998</v>
      </c>
      <c r="K15" s="95">
        <v>18.946999999999999</v>
      </c>
      <c r="L15" s="96">
        <v>1</v>
      </c>
      <c r="M15" s="97">
        <v>0.83877108327061844</v>
      </c>
      <c r="N15" s="98">
        <v>0.94034634917991844</v>
      </c>
      <c r="O15" s="99">
        <v>0.78873532595121143</v>
      </c>
      <c r="P15" s="100">
        <v>0.84</v>
      </c>
      <c r="Q15" s="103" t="s">
        <v>35</v>
      </c>
    </row>
    <row r="16" spans="1:17" ht="24.95" customHeight="1" x14ac:dyDescent="0.15">
      <c r="A16" s="86" t="s">
        <v>36</v>
      </c>
      <c r="B16" s="87">
        <v>423100105</v>
      </c>
      <c r="C16" s="88" t="s">
        <v>90</v>
      </c>
      <c r="D16" s="89">
        <v>8940</v>
      </c>
      <c r="E16" s="90">
        <v>0</v>
      </c>
      <c r="F16" s="91">
        <v>8940</v>
      </c>
      <c r="G16" s="92">
        <v>16.327999999999999</v>
      </c>
      <c r="H16" s="93"/>
      <c r="I16" s="94">
        <v>15.984</v>
      </c>
      <c r="J16" s="94">
        <v>0.34399999999999997</v>
      </c>
      <c r="K16" s="95">
        <v>14.9</v>
      </c>
      <c r="L16" s="96">
        <v>1</v>
      </c>
      <c r="M16" s="97">
        <v>0.93218218218218218</v>
      </c>
      <c r="N16" s="98">
        <v>0.97893189612934839</v>
      </c>
      <c r="O16" s="99">
        <v>0.91254287114159727</v>
      </c>
      <c r="P16" s="100">
        <v>0.84</v>
      </c>
      <c r="Q16" s="103"/>
    </row>
    <row r="17" spans="1:17" ht="24.95" customHeight="1" x14ac:dyDescent="0.15">
      <c r="A17" s="86" t="s">
        <v>37</v>
      </c>
      <c r="B17" s="87">
        <v>522100772</v>
      </c>
      <c r="C17" s="88" t="s">
        <v>91</v>
      </c>
      <c r="D17" s="89">
        <v>8180</v>
      </c>
      <c r="E17" s="90">
        <v>0</v>
      </c>
      <c r="F17" s="91">
        <v>8180</v>
      </c>
      <c r="G17" s="92">
        <v>24.000000000000004</v>
      </c>
      <c r="H17" s="93"/>
      <c r="I17" s="94">
        <v>23.694000000000003</v>
      </c>
      <c r="J17" s="94">
        <v>0.30599999999999999</v>
      </c>
      <c r="K17" s="95">
        <v>20.45</v>
      </c>
      <c r="L17" s="96">
        <v>1</v>
      </c>
      <c r="M17" s="97">
        <v>0.86308770152781278</v>
      </c>
      <c r="N17" s="98">
        <v>0.98724999999999996</v>
      </c>
      <c r="O17" s="99">
        <v>0.85208333333333308</v>
      </c>
      <c r="P17" s="100">
        <v>0.86</v>
      </c>
      <c r="Q17" s="104"/>
    </row>
    <row r="18" spans="1:17" ht="24.95" customHeight="1" x14ac:dyDescent="0.15">
      <c r="A18" s="86" t="s">
        <v>38</v>
      </c>
      <c r="B18" s="87">
        <v>422100533</v>
      </c>
      <c r="C18" s="88" t="s">
        <v>92</v>
      </c>
      <c r="D18" s="89">
        <v>26600</v>
      </c>
      <c r="E18" s="90">
        <v>0</v>
      </c>
      <c r="F18" s="91">
        <v>26600</v>
      </c>
      <c r="G18" s="92">
        <v>24.004000000000001</v>
      </c>
      <c r="H18" s="93"/>
      <c r="I18" s="94">
        <v>23.740000000000002</v>
      </c>
      <c r="J18" s="94">
        <v>0.26400000000000001</v>
      </c>
      <c r="K18" s="95">
        <v>20.689</v>
      </c>
      <c r="L18" s="96">
        <v>1</v>
      </c>
      <c r="M18" s="97">
        <v>0.87148272957034534</v>
      </c>
      <c r="N18" s="98">
        <v>0.98900183302782874</v>
      </c>
      <c r="O18" s="99">
        <v>0.86189801699716706</v>
      </c>
      <c r="P18" s="100">
        <v>0.87</v>
      </c>
      <c r="Q18" s="102"/>
    </row>
    <row r="19" spans="1:17" ht="24.95" customHeight="1" x14ac:dyDescent="0.15">
      <c r="A19" s="86" t="s">
        <v>39</v>
      </c>
      <c r="B19" s="87">
        <v>422700533</v>
      </c>
      <c r="C19" s="88" t="s">
        <v>93</v>
      </c>
      <c r="D19" s="89">
        <v>11200</v>
      </c>
      <c r="E19" s="90">
        <v>0</v>
      </c>
      <c r="F19" s="91">
        <v>11200</v>
      </c>
      <c r="G19" s="92">
        <v>9.2009999999999987</v>
      </c>
      <c r="H19" s="93">
        <v>1.2</v>
      </c>
      <c r="I19" s="94">
        <v>9.2009999999999987</v>
      </c>
      <c r="J19" s="94">
        <v>0</v>
      </c>
      <c r="K19" s="95">
        <v>8.7110000000000003</v>
      </c>
      <c r="L19" s="96">
        <v>1</v>
      </c>
      <c r="M19" s="97">
        <v>0.94674491903054037</v>
      </c>
      <c r="N19" s="98">
        <v>1</v>
      </c>
      <c r="O19" s="99">
        <v>0.94674491903054037</v>
      </c>
      <c r="P19" s="100">
        <v>0.85</v>
      </c>
      <c r="Q19" s="102"/>
    </row>
    <row r="20" spans="1:17" ht="24.95" customHeight="1" x14ac:dyDescent="0.15">
      <c r="A20" s="105" t="s">
        <v>40</v>
      </c>
      <c r="B20" s="106" t="e">
        <v>#N/A</v>
      </c>
      <c r="C20" s="107" t="e">
        <v>#N/A</v>
      </c>
      <c r="D20" s="108">
        <v>0</v>
      </c>
      <c r="E20" s="109">
        <v>0</v>
      </c>
      <c r="F20" s="110">
        <v>0</v>
      </c>
      <c r="G20" s="111">
        <v>0</v>
      </c>
      <c r="H20" s="112"/>
      <c r="I20" s="94">
        <v>0</v>
      </c>
      <c r="J20" s="113">
        <v>0</v>
      </c>
      <c r="K20" s="95">
        <v>0</v>
      </c>
      <c r="L20" s="114" t="e">
        <v>#DIV/0!</v>
      </c>
      <c r="M20" s="115" t="e">
        <v>#DIV/0!</v>
      </c>
      <c r="N20" s="116" t="e">
        <v>#DIV/0!</v>
      </c>
      <c r="O20" s="117" t="e">
        <v>#DIV/0!</v>
      </c>
      <c r="P20" s="118">
        <v>0.87</v>
      </c>
      <c r="Q20" s="119"/>
    </row>
    <row r="21" spans="1:17" s="135" customFormat="1" ht="24.95" customHeight="1" x14ac:dyDescent="0.15">
      <c r="A21" s="120" t="s">
        <v>41</v>
      </c>
      <c r="B21" s="121"/>
      <c r="C21" s="121"/>
      <c r="D21" s="122">
        <v>89172</v>
      </c>
      <c r="E21" s="123">
        <v>0</v>
      </c>
      <c r="F21" s="124">
        <v>89172</v>
      </c>
      <c r="G21" s="125">
        <v>169.023</v>
      </c>
      <c r="H21" s="126">
        <v>1.9750000000000001</v>
      </c>
      <c r="I21" s="127">
        <v>164.79300000000001</v>
      </c>
      <c r="J21" s="127">
        <v>4.2299999999999995</v>
      </c>
      <c r="K21" s="128">
        <v>143.89100000000002</v>
      </c>
      <c r="L21" s="129">
        <v>1</v>
      </c>
      <c r="M21" s="130">
        <v>0.87316208819549379</v>
      </c>
      <c r="N21" s="131">
        <v>0.9749738201309881</v>
      </c>
      <c r="O21" s="132">
        <v>0.85131017672151132</v>
      </c>
      <c r="P21" s="133">
        <v>0.85214285714285698</v>
      </c>
      <c r="Q21" s="134"/>
    </row>
    <row r="22" spans="1:17" ht="24.95" customHeight="1" x14ac:dyDescent="0.15">
      <c r="A22" s="136" t="s">
        <v>42</v>
      </c>
      <c r="B22" s="137">
        <v>421200252</v>
      </c>
      <c r="C22" s="138" t="s">
        <v>94</v>
      </c>
      <c r="D22" s="73">
        <v>1540</v>
      </c>
      <c r="E22" s="74">
        <v>0</v>
      </c>
      <c r="F22" s="75">
        <v>1540</v>
      </c>
      <c r="G22" s="139">
        <v>2.444</v>
      </c>
      <c r="H22" s="140"/>
      <c r="I22" s="141">
        <v>2.444</v>
      </c>
      <c r="J22" s="141">
        <v>0</v>
      </c>
      <c r="K22" s="142">
        <v>2.3530000000000002</v>
      </c>
      <c r="L22" s="143">
        <v>1</v>
      </c>
      <c r="M22" s="144">
        <v>0.9627659574468086</v>
      </c>
      <c r="N22" s="145">
        <v>1</v>
      </c>
      <c r="O22" s="146">
        <v>0.9627659574468086</v>
      </c>
      <c r="P22" s="147">
        <v>0.9</v>
      </c>
      <c r="Q22" s="148"/>
    </row>
    <row r="23" spans="1:17" ht="24.95" customHeight="1" x14ac:dyDescent="0.15">
      <c r="A23" s="136" t="s">
        <v>43</v>
      </c>
      <c r="B23" s="149" t="e">
        <v>#N/A</v>
      </c>
      <c r="C23" s="150" t="e">
        <v>#N/A</v>
      </c>
      <c r="D23" s="89">
        <v>0</v>
      </c>
      <c r="E23" s="90">
        <v>0</v>
      </c>
      <c r="F23" s="91">
        <v>0</v>
      </c>
      <c r="G23" s="151">
        <v>0</v>
      </c>
      <c r="H23" s="152"/>
      <c r="I23" s="153">
        <v>0</v>
      </c>
      <c r="J23" s="153">
        <v>0</v>
      </c>
      <c r="K23" s="154">
        <v>0</v>
      </c>
      <c r="L23" s="155" t="e">
        <v>#DIV/0!</v>
      </c>
      <c r="M23" s="156" t="e">
        <v>#DIV/0!</v>
      </c>
      <c r="N23" s="157" t="e">
        <v>#DIV/0!</v>
      </c>
      <c r="O23" s="158" t="e">
        <v>#DIV/0!</v>
      </c>
      <c r="P23" s="159">
        <v>0.9</v>
      </c>
      <c r="Q23" s="160"/>
    </row>
    <row r="24" spans="1:17" ht="24.95" customHeight="1" x14ac:dyDescent="0.15">
      <c r="A24" s="136" t="s">
        <v>44</v>
      </c>
      <c r="B24" s="149" t="e">
        <v>#N/A</v>
      </c>
      <c r="C24" s="150" t="e">
        <v>#N/A</v>
      </c>
      <c r="D24" s="89">
        <v>0</v>
      </c>
      <c r="E24" s="90">
        <v>0</v>
      </c>
      <c r="F24" s="91">
        <v>0</v>
      </c>
      <c r="G24" s="151">
        <v>0</v>
      </c>
      <c r="H24" s="152"/>
      <c r="I24" s="153">
        <v>0</v>
      </c>
      <c r="J24" s="153">
        <v>0</v>
      </c>
      <c r="K24" s="154">
        <v>0</v>
      </c>
      <c r="L24" s="155" t="e">
        <v>#DIV/0!</v>
      </c>
      <c r="M24" s="156" t="e">
        <v>#DIV/0!</v>
      </c>
      <c r="N24" s="157" t="e">
        <v>#DIV/0!</v>
      </c>
      <c r="O24" s="158" t="e">
        <v>#DIV/0!</v>
      </c>
      <c r="P24" s="159">
        <v>0.9</v>
      </c>
      <c r="Q24" s="160"/>
    </row>
    <row r="25" spans="1:17" ht="24.95" customHeight="1" x14ac:dyDescent="0.15">
      <c r="A25" s="136" t="s">
        <v>45</v>
      </c>
      <c r="B25" s="149">
        <v>521200182</v>
      </c>
      <c r="C25" s="150" t="s">
        <v>95</v>
      </c>
      <c r="D25" s="89">
        <v>9124</v>
      </c>
      <c r="E25" s="90">
        <v>26</v>
      </c>
      <c r="F25" s="91">
        <v>9150</v>
      </c>
      <c r="G25" s="151">
        <v>20.669</v>
      </c>
      <c r="H25" s="152"/>
      <c r="I25" s="153">
        <v>20.187000000000001</v>
      </c>
      <c r="J25" s="153">
        <v>0.48199999999999998</v>
      </c>
      <c r="K25" s="154">
        <v>18.554000000000002</v>
      </c>
      <c r="L25" s="155">
        <v>0.99715846994535517</v>
      </c>
      <c r="M25" s="156">
        <v>0.91910635557537035</v>
      </c>
      <c r="N25" s="157">
        <v>0.97668005225216514</v>
      </c>
      <c r="O25" s="158">
        <v>0.89512207902492247</v>
      </c>
      <c r="P25" s="159">
        <v>0.9</v>
      </c>
      <c r="Q25" s="161"/>
    </row>
    <row r="26" spans="1:17" ht="24.95" customHeight="1" x14ac:dyDescent="0.15">
      <c r="A26" s="136" t="s">
        <v>46</v>
      </c>
      <c r="B26" s="149">
        <v>421201053</v>
      </c>
      <c r="C26" s="150" t="s">
        <v>96</v>
      </c>
      <c r="D26" s="89">
        <v>13600</v>
      </c>
      <c r="E26" s="90">
        <v>0</v>
      </c>
      <c r="F26" s="91">
        <v>13600</v>
      </c>
      <c r="G26" s="151">
        <v>11.999000000000001</v>
      </c>
      <c r="H26" s="152"/>
      <c r="I26" s="153">
        <v>11.773</v>
      </c>
      <c r="J26" s="153">
        <v>0.22600000000000001</v>
      </c>
      <c r="K26" s="154">
        <v>10.577999999999999</v>
      </c>
      <c r="L26" s="155">
        <v>1</v>
      </c>
      <c r="M26" s="156">
        <v>0.89849655992525268</v>
      </c>
      <c r="N26" s="157">
        <v>0.98116509709142419</v>
      </c>
      <c r="O26" s="158">
        <v>0.88157346445537121</v>
      </c>
      <c r="P26" s="159">
        <v>0.85</v>
      </c>
      <c r="Q26" s="102"/>
    </row>
    <row r="27" spans="1:17" ht="24.95" customHeight="1" x14ac:dyDescent="0.15">
      <c r="A27" s="136" t="s">
        <v>47</v>
      </c>
      <c r="B27" s="149" t="e">
        <v>#N/A</v>
      </c>
      <c r="C27" s="150" t="e">
        <v>#N/A</v>
      </c>
      <c r="D27" s="89">
        <v>0</v>
      </c>
      <c r="E27" s="90">
        <v>0</v>
      </c>
      <c r="F27" s="91">
        <v>0</v>
      </c>
      <c r="G27" s="151">
        <v>0</v>
      </c>
      <c r="H27" s="152"/>
      <c r="I27" s="153">
        <v>0</v>
      </c>
      <c r="J27" s="153">
        <v>0</v>
      </c>
      <c r="K27" s="154">
        <v>0</v>
      </c>
      <c r="L27" s="155" t="e">
        <v>#DIV/0!</v>
      </c>
      <c r="M27" s="156" t="e">
        <v>#DIV/0!</v>
      </c>
      <c r="N27" s="157" t="e">
        <v>#DIV/0!</v>
      </c>
      <c r="O27" s="158" t="e">
        <v>#DIV/0!</v>
      </c>
      <c r="P27" s="159">
        <v>0.85</v>
      </c>
      <c r="Q27" s="161"/>
    </row>
    <row r="28" spans="1:17" s="19" customFormat="1" ht="24.95" customHeight="1" x14ac:dyDescent="0.15">
      <c r="A28" s="136" t="s">
        <v>48</v>
      </c>
      <c r="B28" s="149">
        <v>422108691</v>
      </c>
      <c r="C28" s="150" t="s">
        <v>97</v>
      </c>
      <c r="D28" s="89">
        <v>8400</v>
      </c>
      <c r="E28" s="90">
        <v>0</v>
      </c>
      <c r="F28" s="91">
        <v>8400</v>
      </c>
      <c r="G28" s="151">
        <v>7.6559999999999997</v>
      </c>
      <c r="H28" s="152">
        <v>0.1</v>
      </c>
      <c r="I28" s="153">
        <v>7.0009999999999994</v>
      </c>
      <c r="J28" s="153">
        <v>0.65500000000000003</v>
      </c>
      <c r="K28" s="154">
        <v>7</v>
      </c>
      <c r="L28" s="155">
        <v>1</v>
      </c>
      <c r="M28" s="156">
        <v>0.99985716326239116</v>
      </c>
      <c r="N28" s="157">
        <v>0.91444618599791005</v>
      </c>
      <c r="O28" s="158">
        <v>0.91431556948798332</v>
      </c>
      <c r="P28" s="159">
        <v>0.87</v>
      </c>
      <c r="Q28" s="160" t="s">
        <v>49</v>
      </c>
    </row>
    <row r="29" spans="1:17" ht="24.95" customHeight="1" x14ac:dyDescent="0.15">
      <c r="A29" s="136" t="s">
        <v>50</v>
      </c>
      <c r="B29" s="149">
        <v>521600212</v>
      </c>
      <c r="C29" s="150" t="s">
        <v>98</v>
      </c>
      <c r="D29" s="89">
        <v>1278</v>
      </c>
      <c r="E29" s="90">
        <v>0</v>
      </c>
      <c r="F29" s="91">
        <v>1278</v>
      </c>
      <c r="G29" s="151">
        <v>10.244</v>
      </c>
      <c r="H29" s="152"/>
      <c r="I29" s="153">
        <v>9.9589999999999996</v>
      </c>
      <c r="J29" s="153">
        <v>0.28499999999999998</v>
      </c>
      <c r="K29" s="154">
        <v>9.5850000000000009</v>
      </c>
      <c r="L29" s="155">
        <v>1</v>
      </c>
      <c r="M29" s="156">
        <v>0.96244602871774287</v>
      </c>
      <c r="N29" s="157">
        <v>0.9721788363920344</v>
      </c>
      <c r="O29" s="158">
        <v>0.93566966028894982</v>
      </c>
      <c r="P29" s="159">
        <v>0.9</v>
      </c>
      <c r="Q29" s="160"/>
    </row>
    <row r="30" spans="1:17" ht="24.95" customHeight="1" x14ac:dyDescent="0.15">
      <c r="A30" s="136" t="s">
        <v>51</v>
      </c>
      <c r="B30" s="149">
        <v>422108712</v>
      </c>
      <c r="C30" s="150" t="s">
        <v>99</v>
      </c>
      <c r="D30" s="89">
        <v>27100</v>
      </c>
      <c r="E30" s="90">
        <v>0</v>
      </c>
      <c r="F30" s="91">
        <v>27100</v>
      </c>
      <c r="G30" s="151">
        <v>24</v>
      </c>
      <c r="H30" s="152"/>
      <c r="I30" s="153">
        <v>23.393999999999998</v>
      </c>
      <c r="J30" s="153">
        <v>0.60599999999999998</v>
      </c>
      <c r="K30" s="154">
        <v>22.582999999999998</v>
      </c>
      <c r="L30" s="155">
        <v>1</v>
      </c>
      <c r="M30" s="156">
        <v>0.96533299136530737</v>
      </c>
      <c r="N30" s="157">
        <v>0.97474999999999989</v>
      </c>
      <c r="O30" s="158">
        <v>0.94095833333333323</v>
      </c>
      <c r="P30" s="159">
        <v>0.87</v>
      </c>
      <c r="Q30" s="160" t="s">
        <v>52</v>
      </c>
    </row>
    <row r="31" spans="1:17" ht="24.95" customHeight="1" x14ac:dyDescent="0.15">
      <c r="A31" s="136" t="s">
        <v>53</v>
      </c>
      <c r="B31" s="149">
        <v>422108611</v>
      </c>
      <c r="C31" s="150" t="s">
        <v>100</v>
      </c>
      <c r="D31" s="89">
        <v>39600</v>
      </c>
      <c r="E31" s="90">
        <v>26</v>
      </c>
      <c r="F31" s="91">
        <v>39626</v>
      </c>
      <c r="G31" s="151">
        <v>23.995999999999999</v>
      </c>
      <c r="H31" s="152"/>
      <c r="I31" s="153">
        <v>23.792999999999999</v>
      </c>
      <c r="J31" s="153">
        <v>0.20300000000000001</v>
      </c>
      <c r="K31" s="154">
        <v>20.914000000000001</v>
      </c>
      <c r="L31" s="155">
        <v>0.99934386513905016</v>
      </c>
      <c r="M31" s="156">
        <v>0.87899802462909271</v>
      </c>
      <c r="N31" s="157">
        <v>0.99154025670945156</v>
      </c>
      <c r="O31" s="158">
        <v>0.87099006482405805</v>
      </c>
      <c r="P31" s="159">
        <v>0.85</v>
      </c>
      <c r="Q31" s="160"/>
    </row>
    <row r="32" spans="1:17" ht="39.950000000000003" customHeight="1" x14ac:dyDescent="0.15">
      <c r="A32" s="136" t="s">
        <v>54</v>
      </c>
      <c r="B32" s="149">
        <v>422108602</v>
      </c>
      <c r="C32" s="150" t="s">
        <v>101</v>
      </c>
      <c r="D32" s="89">
        <v>34800</v>
      </c>
      <c r="E32" s="90">
        <v>52</v>
      </c>
      <c r="F32" s="91">
        <v>34852</v>
      </c>
      <c r="G32" s="151">
        <v>23.995999999999999</v>
      </c>
      <c r="H32" s="152"/>
      <c r="I32" s="153">
        <v>23.523</v>
      </c>
      <c r="J32" s="153">
        <v>0.47300000000000003</v>
      </c>
      <c r="K32" s="154">
        <v>18.393999999999998</v>
      </c>
      <c r="L32" s="155">
        <v>0.99850797658670953</v>
      </c>
      <c r="M32" s="156">
        <v>0.78195808357777485</v>
      </c>
      <c r="N32" s="157">
        <v>0.98028838139689956</v>
      </c>
      <c r="O32" s="158">
        <v>0.76540072184263763</v>
      </c>
      <c r="P32" s="159">
        <v>0.85</v>
      </c>
      <c r="Q32" s="160" t="s">
        <v>55</v>
      </c>
    </row>
    <row r="33" spans="1:17" ht="24.95" customHeight="1" x14ac:dyDescent="0.15">
      <c r="A33" s="136" t="s">
        <v>56</v>
      </c>
      <c r="B33" s="149" t="e">
        <v>#N/A</v>
      </c>
      <c r="C33" s="150" t="e">
        <v>#N/A</v>
      </c>
      <c r="D33" s="89">
        <v>0</v>
      </c>
      <c r="E33" s="90">
        <v>0</v>
      </c>
      <c r="F33" s="91">
        <v>0</v>
      </c>
      <c r="G33" s="151">
        <v>0</v>
      </c>
      <c r="H33" s="152"/>
      <c r="I33" s="153">
        <v>0</v>
      </c>
      <c r="J33" s="153">
        <v>0</v>
      </c>
      <c r="K33" s="154">
        <v>0</v>
      </c>
      <c r="L33" s="155" t="e">
        <v>#DIV/0!</v>
      </c>
      <c r="M33" s="156" t="e">
        <v>#DIV/0!</v>
      </c>
      <c r="N33" s="157" t="e">
        <v>#DIV/0!</v>
      </c>
      <c r="O33" s="158" t="e">
        <v>#DIV/0!</v>
      </c>
      <c r="P33" s="159">
        <v>0.9</v>
      </c>
      <c r="Q33" s="160"/>
    </row>
    <row r="34" spans="1:17" ht="24.95" customHeight="1" x14ac:dyDescent="0.15">
      <c r="A34" s="136" t="s">
        <v>57</v>
      </c>
      <c r="B34" s="149" t="e">
        <v>#N/A</v>
      </c>
      <c r="C34" s="150" t="e">
        <v>#N/A</v>
      </c>
      <c r="D34" s="89">
        <v>0</v>
      </c>
      <c r="E34" s="90">
        <v>0</v>
      </c>
      <c r="F34" s="91">
        <v>0</v>
      </c>
      <c r="G34" s="151">
        <v>0</v>
      </c>
      <c r="H34" s="152"/>
      <c r="I34" s="153">
        <v>0</v>
      </c>
      <c r="J34" s="153">
        <v>0</v>
      </c>
      <c r="K34" s="154">
        <v>0</v>
      </c>
      <c r="L34" s="155" t="e">
        <v>#DIV/0!</v>
      </c>
      <c r="M34" s="156" t="e">
        <v>#DIV/0!</v>
      </c>
      <c r="N34" s="157" t="e">
        <v>#DIV/0!</v>
      </c>
      <c r="O34" s="158" t="e">
        <v>#DIV/0!</v>
      </c>
      <c r="P34" s="159">
        <v>0.87</v>
      </c>
      <c r="Q34" s="160"/>
    </row>
    <row r="35" spans="1:17" ht="24.95" customHeight="1" x14ac:dyDescent="0.15">
      <c r="A35" s="136" t="s">
        <v>58</v>
      </c>
      <c r="B35" s="149">
        <v>422108602</v>
      </c>
      <c r="C35" s="150" t="s">
        <v>101</v>
      </c>
      <c r="D35" s="89">
        <v>26808</v>
      </c>
      <c r="E35" s="90">
        <v>7</v>
      </c>
      <c r="F35" s="91">
        <v>26815</v>
      </c>
      <c r="G35" s="151">
        <v>14.81</v>
      </c>
      <c r="H35" s="152"/>
      <c r="I35" s="153">
        <v>14.656000000000001</v>
      </c>
      <c r="J35" s="153">
        <v>0.154</v>
      </c>
      <c r="K35" s="154">
        <v>14.152000000000001</v>
      </c>
      <c r="L35" s="155">
        <v>0.99973895207906027</v>
      </c>
      <c r="M35" s="156">
        <v>0.96561135371179041</v>
      </c>
      <c r="N35" s="157">
        <v>0.98960162052667122</v>
      </c>
      <c r="O35" s="158">
        <v>0.95532111072402848</v>
      </c>
      <c r="P35" s="159">
        <v>0.85</v>
      </c>
      <c r="Q35" s="160"/>
    </row>
    <row r="36" spans="1:17" ht="24.95" customHeight="1" x14ac:dyDescent="0.15">
      <c r="A36" s="136" t="s">
        <v>59</v>
      </c>
      <c r="B36" s="149" t="e">
        <v>#N/A</v>
      </c>
      <c r="C36" s="150" t="e">
        <v>#N/A</v>
      </c>
      <c r="D36" s="89">
        <v>0</v>
      </c>
      <c r="E36" s="90">
        <v>0</v>
      </c>
      <c r="F36" s="91">
        <v>0</v>
      </c>
      <c r="G36" s="151">
        <v>0</v>
      </c>
      <c r="H36" s="152"/>
      <c r="I36" s="153">
        <v>0</v>
      </c>
      <c r="J36" s="153">
        <v>0</v>
      </c>
      <c r="K36" s="154">
        <v>0</v>
      </c>
      <c r="L36" s="155" t="e">
        <v>#DIV/0!</v>
      </c>
      <c r="M36" s="156" t="e">
        <v>#DIV/0!</v>
      </c>
      <c r="N36" s="157" t="e">
        <v>#DIV/0!</v>
      </c>
      <c r="O36" s="158" t="e">
        <v>#DIV/0!</v>
      </c>
      <c r="P36" s="159">
        <v>0.9</v>
      </c>
      <c r="Q36" s="160"/>
    </row>
    <row r="37" spans="1:17" ht="24.95" customHeight="1" x14ac:dyDescent="0.15">
      <c r="A37" s="136" t="s">
        <v>60</v>
      </c>
      <c r="B37" s="162" t="e">
        <v>#N/A</v>
      </c>
      <c r="C37" s="163" t="e">
        <v>#N/A</v>
      </c>
      <c r="D37" s="108">
        <v>0</v>
      </c>
      <c r="E37" s="109">
        <v>0</v>
      </c>
      <c r="F37" s="110">
        <v>0</v>
      </c>
      <c r="G37" s="164">
        <v>0</v>
      </c>
      <c r="H37" s="165"/>
      <c r="I37" s="166">
        <v>0</v>
      </c>
      <c r="J37" s="166">
        <v>0</v>
      </c>
      <c r="K37" s="154">
        <v>0</v>
      </c>
      <c r="L37" s="167" t="e">
        <v>#DIV/0!</v>
      </c>
      <c r="M37" s="168" t="e">
        <v>#DIV/0!</v>
      </c>
      <c r="N37" s="169" t="e">
        <v>#DIV/0!</v>
      </c>
      <c r="O37" s="170" t="e">
        <v>#DIV/0!</v>
      </c>
      <c r="P37" s="171">
        <v>0.9</v>
      </c>
      <c r="Q37" s="172"/>
    </row>
    <row r="38" spans="1:17" s="135" customFormat="1" ht="24.95" customHeight="1" x14ac:dyDescent="0.15">
      <c r="A38" s="173" t="s">
        <v>61</v>
      </c>
      <c r="B38" s="174"/>
      <c r="C38" s="174"/>
      <c r="D38" s="175">
        <v>162250</v>
      </c>
      <c r="E38" s="176">
        <v>111</v>
      </c>
      <c r="F38" s="177">
        <v>162361</v>
      </c>
      <c r="G38" s="178">
        <v>139.81399999999999</v>
      </c>
      <c r="H38" s="179">
        <v>0.1</v>
      </c>
      <c r="I38" s="180">
        <v>136.72999999999999</v>
      </c>
      <c r="J38" s="180">
        <v>3.0839999999999996</v>
      </c>
      <c r="K38" s="181">
        <v>124.11299999999999</v>
      </c>
      <c r="L38" s="182">
        <v>0.99931633828320843</v>
      </c>
      <c r="M38" s="183">
        <v>0.90772325020112632</v>
      </c>
      <c r="N38" s="184">
        <v>0.97794212310641282</v>
      </c>
      <c r="O38" s="185">
        <v>0.88709391544011218</v>
      </c>
      <c r="P38" s="186">
        <v>0.87875000000000003</v>
      </c>
      <c r="Q38" s="187"/>
    </row>
    <row r="39" spans="1:17" ht="24.95" customHeight="1" x14ac:dyDescent="0.15">
      <c r="A39" s="188" t="s">
        <v>62</v>
      </c>
      <c r="B39" s="189">
        <v>422100193</v>
      </c>
      <c r="C39" s="190" t="s">
        <v>102</v>
      </c>
      <c r="D39" s="73">
        <v>4300</v>
      </c>
      <c r="E39" s="74">
        <v>0</v>
      </c>
      <c r="F39" s="75">
        <v>4300</v>
      </c>
      <c r="G39" s="191">
        <v>10</v>
      </c>
      <c r="H39" s="192"/>
      <c r="I39" s="193">
        <v>9.8130000000000006</v>
      </c>
      <c r="J39" s="193">
        <v>0.187</v>
      </c>
      <c r="K39" s="194">
        <v>9.5559999999999992</v>
      </c>
      <c r="L39" s="143">
        <v>1</v>
      </c>
      <c r="M39" s="144">
        <v>0.97381025170691926</v>
      </c>
      <c r="N39" s="145">
        <v>0.98130000000000006</v>
      </c>
      <c r="O39" s="146">
        <v>0.95559999999999989</v>
      </c>
      <c r="P39" s="147">
        <v>0.87</v>
      </c>
      <c r="Q39" s="195"/>
    </row>
    <row r="40" spans="1:17" ht="24.95" customHeight="1" x14ac:dyDescent="0.15">
      <c r="A40" s="196" t="s">
        <v>63</v>
      </c>
      <c r="B40" s="197">
        <v>421000222</v>
      </c>
      <c r="C40" s="198" t="s">
        <v>103</v>
      </c>
      <c r="D40" s="89">
        <v>5990</v>
      </c>
      <c r="E40" s="90">
        <v>0</v>
      </c>
      <c r="F40" s="91">
        <v>5990</v>
      </c>
      <c r="G40" s="151">
        <v>12.552</v>
      </c>
      <c r="H40" s="152"/>
      <c r="I40" s="153">
        <v>12.337</v>
      </c>
      <c r="J40" s="153">
        <v>0.215</v>
      </c>
      <c r="K40" s="154">
        <v>11.847</v>
      </c>
      <c r="L40" s="155">
        <v>1</v>
      </c>
      <c r="M40" s="156">
        <v>0.96028207830104562</v>
      </c>
      <c r="N40" s="157">
        <v>0.98287125557680055</v>
      </c>
      <c r="O40" s="158">
        <v>0.94383365200764824</v>
      </c>
      <c r="P40" s="159">
        <v>0.87</v>
      </c>
      <c r="Q40" s="199"/>
    </row>
    <row r="41" spans="1:17" ht="24.95" customHeight="1" x14ac:dyDescent="0.15">
      <c r="A41" s="196" t="s">
        <v>64</v>
      </c>
      <c r="B41" s="197">
        <v>421000157</v>
      </c>
      <c r="C41" s="198" t="s">
        <v>104</v>
      </c>
      <c r="D41" s="89">
        <v>5440</v>
      </c>
      <c r="E41" s="90">
        <v>0</v>
      </c>
      <c r="F41" s="91">
        <v>5440</v>
      </c>
      <c r="G41" s="151">
        <v>12.010999999999999</v>
      </c>
      <c r="H41" s="152"/>
      <c r="I41" s="153">
        <v>11.786</v>
      </c>
      <c r="J41" s="153">
        <v>0.22500000000000001</v>
      </c>
      <c r="K41" s="154">
        <v>10.124000000000001</v>
      </c>
      <c r="L41" s="155">
        <v>1</v>
      </c>
      <c r="M41" s="156">
        <v>0.85898523672153415</v>
      </c>
      <c r="N41" s="157">
        <v>0.98126717175922074</v>
      </c>
      <c r="O41" s="158">
        <v>0.84289401382066453</v>
      </c>
      <c r="P41" s="159">
        <v>0.87</v>
      </c>
      <c r="Q41" s="102"/>
    </row>
    <row r="42" spans="1:17" ht="24.95" customHeight="1" x14ac:dyDescent="0.15">
      <c r="A42" s="196" t="s">
        <v>65</v>
      </c>
      <c r="B42" s="197" t="e">
        <v>#N/A</v>
      </c>
      <c r="C42" s="198" t="e">
        <v>#N/A</v>
      </c>
      <c r="D42" s="89">
        <v>0</v>
      </c>
      <c r="E42" s="90">
        <v>0</v>
      </c>
      <c r="F42" s="91">
        <v>0</v>
      </c>
      <c r="G42" s="151">
        <v>0</v>
      </c>
      <c r="H42" s="152"/>
      <c r="I42" s="153">
        <v>0</v>
      </c>
      <c r="J42" s="153">
        <v>0</v>
      </c>
      <c r="K42" s="154">
        <v>0</v>
      </c>
      <c r="L42" s="155" t="e">
        <v>#DIV/0!</v>
      </c>
      <c r="M42" s="156" t="e">
        <v>#DIV/0!</v>
      </c>
      <c r="N42" s="157" t="e">
        <v>#DIV/0!</v>
      </c>
      <c r="O42" s="158" t="e">
        <v>#DIV/0!</v>
      </c>
      <c r="P42" s="159">
        <v>0.87</v>
      </c>
      <c r="Q42" s="199"/>
    </row>
    <row r="43" spans="1:17" ht="80.099999999999994" customHeight="1" x14ac:dyDescent="0.15">
      <c r="A43" s="196" t="s">
        <v>66</v>
      </c>
      <c r="B43" s="197">
        <v>541400001</v>
      </c>
      <c r="C43" s="198" t="s">
        <v>105</v>
      </c>
      <c r="D43" s="89">
        <v>3305</v>
      </c>
      <c r="E43" s="90">
        <v>0</v>
      </c>
      <c r="F43" s="91">
        <v>3305</v>
      </c>
      <c r="G43" s="151">
        <v>16.193999999999999</v>
      </c>
      <c r="H43" s="152">
        <v>0.2</v>
      </c>
      <c r="I43" s="153">
        <v>16.193999999999999</v>
      </c>
      <c r="J43" s="153">
        <v>0</v>
      </c>
      <c r="K43" s="154">
        <v>15.515000000000001</v>
      </c>
      <c r="L43" s="155">
        <v>1</v>
      </c>
      <c r="M43" s="156">
        <v>0.95807089045325433</v>
      </c>
      <c r="N43" s="157">
        <v>1</v>
      </c>
      <c r="O43" s="158">
        <v>0.95807089045325433</v>
      </c>
      <c r="P43" s="159">
        <v>0.87</v>
      </c>
      <c r="Q43" s="199" t="s">
        <v>67</v>
      </c>
    </row>
    <row r="44" spans="1:17" ht="24.95" customHeight="1" x14ac:dyDescent="0.15">
      <c r="A44" s="196" t="s">
        <v>68</v>
      </c>
      <c r="B44" s="197" t="e">
        <v>#N/A</v>
      </c>
      <c r="C44" s="198" t="e">
        <v>#N/A</v>
      </c>
      <c r="D44" s="89">
        <v>0</v>
      </c>
      <c r="E44" s="90">
        <v>0</v>
      </c>
      <c r="F44" s="91">
        <v>0</v>
      </c>
      <c r="G44" s="151">
        <v>0</v>
      </c>
      <c r="H44" s="152"/>
      <c r="I44" s="153">
        <v>0</v>
      </c>
      <c r="J44" s="153">
        <v>0</v>
      </c>
      <c r="K44" s="154">
        <v>0</v>
      </c>
      <c r="L44" s="155" t="e">
        <v>#DIV/0!</v>
      </c>
      <c r="M44" s="156" t="e">
        <v>#DIV/0!</v>
      </c>
      <c r="N44" s="157" t="e">
        <v>#DIV/0!</v>
      </c>
      <c r="O44" s="158" t="e">
        <v>#DIV/0!</v>
      </c>
      <c r="P44" s="159">
        <v>0.85</v>
      </c>
      <c r="Q44" s="199"/>
    </row>
    <row r="45" spans="1:17" ht="54.95" customHeight="1" x14ac:dyDescent="0.15">
      <c r="A45" s="196" t="s">
        <v>69</v>
      </c>
      <c r="B45" s="197">
        <v>522202362</v>
      </c>
      <c r="C45" s="198" t="s">
        <v>106</v>
      </c>
      <c r="D45" s="89">
        <v>1575</v>
      </c>
      <c r="E45" s="90">
        <v>12</v>
      </c>
      <c r="F45" s="91">
        <v>1587</v>
      </c>
      <c r="G45" s="151">
        <v>8.7479999999999993</v>
      </c>
      <c r="H45" s="152">
        <v>1.8</v>
      </c>
      <c r="I45" s="153">
        <v>5.5209999999999999</v>
      </c>
      <c r="J45" s="153">
        <v>3.2269999999999999</v>
      </c>
      <c r="K45" s="154">
        <v>5.52</v>
      </c>
      <c r="L45" s="155">
        <v>0.99243856332703217</v>
      </c>
      <c r="M45" s="156">
        <v>0.99981887339250131</v>
      </c>
      <c r="N45" s="157">
        <v>0.6311156835848194</v>
      </c>
      <c r="O45" s="158">
        <v>0.62623009482912861</v>
      </c>
      <c r="P45" s="159">
        <v>0.84</v>
      </c>
      <c r="Q45" s="199" t="s">
        <v>70</v>
      </c>
    </row>
    <row r="46" spans="1:17" ht="24.95" customHeight="1" x14ac:dyDescent="0.15">
      <c r="A46" s="196" t="s">
        <v>71</v>
      </c>
      <c r="B46" s="197" t="e">
        <v>#N/A</v>
      </c>
      <c r="C46" s="198" t="e">
        <v>#N/A</v>
      </c>
      <c r="D46" s="89">
        <v>0</v>
      </c>
      <c r="E46" s="90">
        <v>0</v>
      </c>
      <c r="F46" s="91">
        <v>0</v>
      </c>
      <c r="G46" s="151">
        <v>0</v>
      </c>
      <c r="H46" s="152"/>
      <c r="I46" s="153">
        <v>0</v>
      </c>
      <c r="J46" s="153">
        <v>0</v>
      </c>
      <c r="K46" s="154">
        <v>0</v>
      </c>
      <c r="L46" s="155" t="e">
        <v>#DIV/0!</v>
      </c>
      <c r="M46" s="156" t="e">
        <v>#DIV/0!</v>
      </c>
      <c r="N46" s="157" t="e">
        <v>#DIV/0!</v>
      </c>
      <c r="O46" s="158" t="e">
        <v>#DIV/0!</v>
      </c>
      <c r="P46" s="159">
        <v>0.75</v>
      </c>
      <c r="Q46" s="199"/>
    </row>
    <row r="47" spans="1:17" s="19" customFormat="1" ht="80.099999999999994" customHeight="1" x14ac:dyDescent="0.15">
      <c r="A47" s="196" t="s">
        <v>72</v>
      </c>
      <c r="B47" s="197">
        <v>422200030</v>
      </c>
      <c r="C47" s="198" t="s">
        <v>107</v>
      </c>
      <c r="D47" s="89">
        <v>2619</v>
      </c>
      <c r="E47" s="90">
        <v>1</v>
      </c>
      <c r="F47" s="91">
        <v>2620</v>
      </c>
      <c r="G47" s="151">
        <v>16.53</v>
      </c>
      <c r="H47" s="152">
        <v>0.87</v>
      </c>
      <c r="I47" s="153">
        <v>15.289</v>
      </c>
      <c r="J47" s="153">
        <v>1.2410000000000001</v>
      </c>
      <c r="K47" s="154">
        <v>15.283000000000001</v>
      </c>
      <c r="L47" s="155">
        <v>0.99961832061068701</v>
      </c>
      <c r="M47" s="156">
        <v>0.99960756099156267</v>
      </c>
      <c r="N47" s="157">
        <v>0.92492437991530541</v>
      </c>
      <c r="O47" s="158">
        <v>0.92420851747689825</v>
      </c>
      <c r="P47" s="159">
        <v>0.87</v>
      </c>
      <c r="Q47" s="199" t="s">
        <v>73</v>
      </c>
    </row>
    <row r="48" spans="1:17" ht="80.099999999999994" customHeight="1" x14ac:dyDescent="0.15">
      <c r="A48" s="196" t="s">
        <v>74</v>
      </c>
      <c r="B48" s="197">
        <v>422201212</v>
      </c>
      <c r="C48" s="198" t="s">
        <v>108</v>
      </c>
      <c r="D48" s="89">
        <v>3210</v>
      </c>
      <c r="E48" s="90">
        <v>6</v>
      </c>
      <c r="F48" s="91">
        <v>3216</v>
      </c>
      <c r="G48" s="151">
        <v>24.093999999999998</v>
      </c>
      <c r="H48" s="152"/>
      <c r="I48" s="153">
        <v>22.780999999999999</v>
      </c>
      <c r="J48" s="153">
        <v>1.3130000000000002</v>
      </c>
      <c r="K48" s="154">
        <v>21.439999999999998</v>
      </c>
      <c r="L48" s="155">
        <v>0.99813432835820892</v>
      </c>
      <c r="M48" s="156">
        <v>0.94113515649005741</v>
      </c>
      <c r="N48" s="157">
        <v>0.94550510500539553</v>
      </c>
      <c r="O48" s="158">
        <v>0.88818793060512979</v>
      </c>
      <c r="P48" s="159">
        <v>0.84</v>
      </c>
      <c r="Q48" s="200" t="s">
        <v>75</v>
      </c>
    </row>
    <row r="49" spans="1:17" ht="69.95" customHeight="1" x14ac:dyDescent="0.15">
      <c r="A49" s="196" t="s">
        <v>76</v>
      </c>
      <c r="B49" s="197">
        <v>422200030</v>
      </c>
      <c r="C49" s="198" t="s">
        <v>107</v>
      </c>
      <c r="D49" s="89">
        <v>3354</v>
      </c>
      <c r="E49" s="90">
        <v>4</v>
      </c>
      <c r="F49" s="91">
        <v>3358</v>
      </c>
      <c r="G49" s="151">
        <v>23.956</v>
      </c>
      <c r="H49" s="152"/>
      <c r="I49" s="153">
        <v>22.603999999999999</v>
      </c>
      <c r="J49" s="153">
        <v>1.3520000000000001</v>
      </c>
      <c r="K49" s="154">
        <v>19.122</v>
      </c>
      <c r="L49" s="155">
        <v>0.99880881477069683</v>
      </c>
      <c r="M49" s="156">
        <v>0.84595646788179091</v>
      </c>
      <c r="N49" s="157">
        <v>0.9435631991985306</v>
      </c>
      <c r="O49" s="158">
        <v>0.7972625712157817</v>
      </c>
      <c r="P49" s="159">
        <v>0.87</v>
      </c>
      <c r="Q49" s="201" t="s">
        <v>77</v>
      </c>
    </row>
    <row r="50" spans="1:17" ht="54.95" customHeight="1" x14ac:dyDescent="0.15">
      <c r="A50" s="196" t="s">
        <v>78</v>
      </c>
      <c r="B50" s="197">
        <v>422200020</v>
      </c>
      <c r="C50" s="198" t="s">
        <v>109</v>
      </c>
      <c r="D50" s="89">
        <v>2066</v>
      </c>
      <c r="E50" s="90">
        <v>0</v>
      </c>
      <c r="F50" s="91">
        <v>2066</v>
      </c>
      <c r="G50" s="151">
        <v>13.952</v>
      </c>
      <c r="H50" s="152"/>
      <c r="I50" s="153">
        <v>13.249000000000001</v>
      </c>
      <c r="J50" s="153">
        <v>0.70299999999999996</v>
      </c>
      <c r="K50" s="154">
        <v>12.052000000000001</v>
      </c>
      <c r="L50" s="155">
        <v>1</v>
      </c>
      <c r="M50" s="156">
        <v>0.90965355875915166</v>
      </c>
      <c r="N50" s="157">
        <v>0.94961295871559637</v>
      </c>
      <c r="O50" s="158">
        <v>0.8638188073394496</v>
      </c>
      <c r="P50" s="159">
        <v>0.87</v>
      </c>
      <c r="Q50" s="199" t="s">
        <v>79</v>
      </c>
    </row>
    <row r="51" spans="1:17" ht="24.95" customHeight="1" x14ac:dyDescent="0.15">
      <c r="A51" s="196" t="s">
        <v>80</v>
      </c>
      <c r="B51" s="197">
        <v>422201122</v>
      </c>
      <c r="C51" s="198" t="s">
        <v>110</v>
      </c>
      <c r="D51" s="89">
        <v>1280</v>
      </c>
      <c r="E51" s="90">
        <v>1</v>
      </c>
      <c r="F51" s="91">
        <v>1281</v>
      </c>
      <c r="G51" s="151">
        <v>12.632999999999999</v>
      </c>
      <c r="H51" s="152">
        <v>2.2999999999999998</v>
      </c>
      <c r="I51" s="153">
        <v>12.632999999999999</v>
      </c>
      <c r="J51" s="153">
        <v>0</v>
      </c>
      <c r="K51" s="154">
        <v>12.098000000000001</v>
      </c>
      <c r="L51" s="155">
        <v>0.99921935987509758</v>
      </c>
      <c r="M51" s="156">
        <v>0.95765059764109883</v>
      </c>
      <c r="N51" s="157">
        <v>1</v>
      </c>
      <c r="O51" s="158">
        <v>0.95690301715894344</v>
      </c>
      <c r="P51" s="159">
        <v>0.85</v>
      </c>
      <c r="Q51" s="199"/>
    </row>
    <row r="52" spans="1:17" ht="24.95" customHeight="1" x14ac:dyDescent="0.15">
      <c r="A52" s="202" t="s">
        <v>81</v>
      </c>
      <c r="B52" s="203" t="e">
        <v>#N/A</v>
      </c>
      <c r="C52" s="204" t="e">
        <v>#N/A</v>
      </c>
      <c r="D52" s="108">
        <v>0</v>
      </c>
      <c r="E52" s="109">
        <v>0</v>
      </c>
      <c r="F52" s="110">
        <v>0</v>
      </c>
      <c r="G52" s="164">
        <v>0</v>
      </c>
      <c r="H52" s="165"/>
      <c r="I52" s="166">
        <v>0</v>
      </c>
      <c r="J52" s="166">
        <v>0</v>
      </c>
      <c r="K52" s="154">
        <v>0</v>
      </c>
      <c r="L52" s="167" t="e">
        <v>#DIV/0!</v>
      </c>
      <c r="M52" s="168" t="e">
        <v>#DIV/0!</v>
      </c>
      <c r="N52" s="169" t="e">
        <v>#DIV/0!</v>
      </c>
      <c r="O52" s="170" t="e">
        <v>#DIV/0!</v>
      </c>
      <c r="P52" s="171">
        <v>0.85</v>
      </c>
      <c r="Q52" s="119"/>
    </row>
    <row r="53" spans="1:17" s="135" customFormat="1" ht="24.95" customHeight="1" thickBot="1" x14ac:dyDescent="0.2">
      <c r="A53" s="205" t="s">
        <v>82</v>
      </c>
      <c r="B53" s="206"/>
      <c r="C53" s="206"/>
      <c r="D53" s="207">
        <v>33139</v>
      </c>
      <c r="E53" s="208">
        <v>24</v>
      </c>
      <c r="F53" s="209">
        <v>33163</v>
      </c>
      <c r="G53" s="210">
        <v>150.67000000000002</v>
      </c>
      <c r="H53" s="211">
        <v>5.17</v>
      </c>
      <c r="I53" s="212">
        <v>142.20700000000002</v>
      </c>
      <c r="J53" s="212">
        <v>8.463000000000001</v>
      </c>
      <c r="K53" s="213">
        <v>132.55700000000002</v>
      </c>
      <c r="L53" s="214">
        <v>0.99927630190272287</v>
      </c>
      <c r="M53" s="215">
        <v>0.9321411744850816</v>
      </c>
      <c r="N53" s="216">
        <v>0.94383088869715281</v>
      </c>
      <c r="O53" s="217">
        <v>0.87914693536416832</v>
      </c>
      <c r="P53" s="218">
        <v>0.85285714285714265</v>
      </c>
      <c r="Q53" s="219"/>
    </row>
    <row r="54" spans="1:17" ht="24.95" customHeight="1" thickBot="1" x14ac:dyDescent="0.2">
      <c r="A54" s="220" t="s">
        <v>23</v>
      </c>
      <c r="B54" s="221"/>
      <c r="C54" s="222"/>
      <c r="D54" s="223">
        <v>284561</v>
      </c>
      <c r="E54" s="224">
        <v>135</v>
      </c>
      <c r="F54" s="225">
        <v>284696</v>
      </c>
      <c r="G54" s="226">
        <v>459.50700000000001</v>
      </c>
      <c r="H54" s="227">
        <v>7.2450000000000001</v>
      </c>
      <c r="I54" s="228">
        <v>443.73</v>
      </c>
      <c r="J54" s="228">
        <v>15.777000000000001</v>
      </c>
      <c r="K54" s="229">
        <v>400.56100000000004</v>
      </c>
      <c r="L54" s="230">
        <v>0.99952580998679297</v>
      </c>
      <c r="M54" s="231">
        <v>0.90271336172897942</v>
      </c>
      <c r="N54" s="232">
        <v>0.96566537615313808</v>
      </c>
      <c r="O54" s="233">
        <v>0.87130567755033073</v>
      </c>
      <c r="P54" s="234">
        <v>0.86204545454545467</v>
      </c>
      <c r="Q54" s="235"/>
    </row>
    <row r="55" spans="1:17" ht="5.0999999999999996" customHeight="1" x14ac:dyDescent="0.15">
      <c r="G55" s="236"/>
      <c r="H55" s="237"/>
      <c r="I55" s="236"/>
      <c r="J55" s="236"/>
      <c r="K55" s="236"/>
      <c r="O55" s="238"/>
    </row>
    <row r="56" spans="1:17" ht="24.95" customHeight="1" x14ac:dyDescent="0.15">
      <c r="G56" s="236"/>
      <c r="H56" s="237"/>
      <c r="I56" s="236"/>
      <c r="J56" s="236"/>
      <c r="K56" s="236"/>
    </row>
    <row r="57" spans="1:17" ht="24.95" customHeight="1" x14ac:dyDescent="0.15">
      <c r="G57" s="236"/>
      <c r="H57" s="237"/>
      <c r="I57" s="236"/>
      <c r="J57" s="236"/>
      <c r="K57" s="236"/>
      <c r="Q57" s="9" t="s">
        <v>83</v>
      </c>
    </row>
    <row r="58" spans="1:17" ht="24.95" customHeight="1" x14ac:dyDescent="0.15">
      <c r="G58" s="236"/>
      <c r="H58" s="237"/>
      <c r="I58" s="236"/>
      <c r="J58" s="236"/>
      <c r="K58" s="236"/>
    </row>
    <row r="59" spans="1:17" ht="24.95" customHeight="1" x14ac:dyDescent="0.15">
      <c r="G59" s="236"/>
      <c r="H59" s="237"/>
      <c r="I59" s="236"/>
      <c r="J59" s="236"/>
      <c r="K59" s="236"/>
    </row>
  </sheetData>
  <mergeCells count="15">
    <mergeCell ref="A38:C38"/>
    <mergeCell ref="A53:C53"/>
    <mergeCell ref="A54:C54"/>
    <mergeCell ref="L4:N4"/>
    <mergeCell ref="O4:O5"/>
    <mergeCell ref="P4:P5"/>
    <mergeCell ref="Q4:Q5"/>
    <mergeCell ref="A6:C6"/>
    <mergeCell ref="A21:C21"/>
    <mergeCell ref="A2:C2"/>
    <mergeCell ref="D2:K2"/>
    <mergeCell ref="A4:A5"/>
    <mergeCell ref="C4:C5"/>
    <mergeCell ref="D4:F4"/>
    <mergeCell ref="G4:K4"/>
  </mergeCells>
  <phoneticPr fontId="3" type="noConversion"/>
  <conditionalFormatting sqref="O56:O1048576">
    <cfRule type="cellIs" dxfId="15" priority="52" operator="greaterThan">
      <formula>1</formula>
    </cfRule>
  </conditionalFormatting>
  <conditionalFormatting sqref="P54">
    <cfRule type="cellIs" dxfId="14" priority="51" stopIfTrue="1" operator="greaterThan">
      <formula>100</formula>
    </cfRule>
  </conditionalFormatting>
  <conditionalFormatting sqref="L7:N47 L49:N51 L53:N54">
    <cfRule type="cellIs" dxfId="13" priority="13" operator="greaterThan">
      <formula>1</formula>
    </cfRule>
    <cfRule type="cellIs" dxfId="12" priority="17" operator="lessThan">
      <formula>0.7</formula>
    </cfRule>
  </conditionalFormatting>
  <conditionalFormatting sqref="O7">
    <cfRule type="cellIs" dxfId="11" priority="16" operator="lessThan">
      <formula>$P$7</formula>
    </cfRule>
  </conditionalFormatting>
  <conditionalFormatting sqref="O8:O47 O49:O51 O53:O54">
    <cfRule type="cellIs" dxfId="10" priority="15" operator="lessThan">
      <formula>$P8</formula>
    </cfRule>
  </conditionalFormatting>
  <conditionalFormatting sqref="P6">
    <cfRule type="cellIs" dxfId="9" priority="12" stopIfTrue="1" operator="greaterThan">
      <formula>100</formula>
    </cfRule>
  </conditionalFormatting>
  <conditionalFormatting sqref="L6:N6">
    <cfRule type="cellIs" dxfId="8" priority="9" operator="greaterThan">
      <formula>1</formula>
    </cfRule>
    <cfRule type="cellIs" dxfId="7" priority="11" operator="lessThan">
      <formula>0.7</formula>
    </cfRule>
  </conditionalFormatting>
  <conditionalFormatting sqref="O6">
    <cfRule type="cellIs" dxfId="6" priority="10" operator="lessThan">
      <formula>$P6</formula>
    </cfRule>
  </conditionalFormatting>
  <conditionalFormatting sqref="L48:N48">
    <cfRule type="cellIs" dxfId="5" priority="6" operator="greaterThan">
      <formula>1</formula>
    </cfRule>
    <cfRule type="cellIs" dxfId="4" priority="8" operator="lessThan">
      <formula>0.7</formula>
    </cfRule>
  </conditionalFormatting>
  <conditionalFormatting sqref="O48">
    <cfRule type="cellIs" dxfId="3" priority="7" operator="lessThan">
      <formula>$P48</formula>
    </cfRule>
  </conditionalFormatting>
  <conditionalFormatting sqref="L52:N52">
    <cfRule type="cellIs" dxfId="2" priority="2" operator="greaterThan">
      <formula>1</formula>
    </cfRule>
    <cfRule type="cellIs" dxfId="1" priority="4" operator="lessThan">
      <formula>0.7</formula>
    </cfRule>
  </conditionalFormatting>
  <conditionalFormatting sqref="O52">
    <cfRule type="cellIs" dxfId="0" priority="3" operator="lessThan">
      <formula>$P52</formula>
    </cfRule>
  </conditionalFormatting>
  <printOptions horizontalCentered="1"/>
  <pageMargins left="0" right="0" top="0" bottom="0" header="0" footer="0"/>
  <pageSetup paperSize="9" scale="45" orientation="portrait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MES 생산성분석</vt:lpstr>
      <vt:lpstr>'MES 생산성분석'!Print_Area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2026-04-06T01:04:46Z</dcterms:created>
  <dcterms:modified xsi:type="dcterms:W3CDTF">2026-04-06T01:05:18Z</dcterms:modified>
</cp:coreProperties>
</file>