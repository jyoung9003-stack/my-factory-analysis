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B01-16-019\Desktop\01. 사출생산팀 일일 생산성 자료\4월\"/>
    </mc:Choice>
  </mc:AlternateContent>
  <bookViews>
    <workbookView xWindow="0" yWindow="0" windowWidth="28800" windowHeight="12330"/>
  </bookViews>
  <sheets>
    <sheet name="복사 시트" sheetId="1" r:id="rId1"/>
  </sheets>
  <externalReferences>
    <externalReference r:id="rId2"/>
    <externalReference r:id="rId3"/>
  </externalReferences>
  <definedNames>
    <definedName name="_">#REF!</definedName>
    <definedName name="_?쨲?f">#REF!</definedName>
    <definedName name="__?">#REF!</definedName>
    <definedName name="___fci2">[2]!___fci2</definedName>
    <definedName name="__aof2">#REF!</definedName>
    <definedName name="__DAT1">#REF!</definedName>
    <definedName name="__DAT2">#REF!</definedName>
    <definedName name="__DAT3">#REF!</definedName>
    <definedName name="__DAT4">#REF!</definedName>
    <definedName name="__DAT5">#REF!</definedName>
    <definedName name="__DAT6">#REF!</definedName>
    <definedName name="__DAT7">#REF!</definedName>
    <definedName name="__DAT8">#REF!</definedName>
    <definedName name="__DAT9">#REF!</definedName>
    <definedName name="__fci2">[2]!__fci2</definedName>
    <definedName name="__pay2">#REF!</definedName>
    <definedName name="__PLT1">#REF!</definedName>
    <definedName name="__PLT2">#REF!</definedName>
    <definedName name="_1">#REF!</definedName>
    <definedName name="_1_?">#REF!</definedName>
    <definedName name="_2">#REF!</definedName>
    <definedName name="_2_?">#REF!</definedName>
    <definedName name="_2_?쨲?f">#REF!</definedName>
    <definedName name="_210a1_">#REF!</definedName>
    <definedName name="_219a2_">#REF!</definedName>
    <definedName name="_228a3_">#REF!</definedName>
    <definedName name="_229B2_">#REF!</definedName>
    <definedName name="_238FF3_">#REF!</definedName>
    <definedName name="_254PBook_Area">#REF!</definedName>
    <definedName name="_255x1_">#REF!</definedName>
    <definedName name="_256x2_">#REF!</definedName>
    <definedName name="_265____S" hidden="1">#REF!</definedName>
    <definedName name="_274__0_S" hidden="1">#REF!</definedName>
    <definedName name="_29ev6_">#REF!</definedName>
    <definedName name="_3_?쨲?f">#REF!</definedName>
    <definedName name="_36PBook_Area">#REF!</definedName>
    <definedName name="_37____S" hidden="1">#REF!</definedName>
    <definedName name="_38_?">#REF!</definedName>
    <definedName name="_38__0_S" hidden="1">#REF!</definedName>
    <definedName name="_39__0_S" hidden="1">#REF!</definedName>
    <definedName name="_3B2_">#REF!</definedName>
    <definedName name="_47_?_컛?___i">#REF!</definedName>
    <definedName name="_4B2_">#REF!</definedName>
    <definedName name="_4FF3_">#REF!</definedName>
    <definedName name="_5_?">#REF!</definedName>
    <definedName name="_57_?쨲?f">#REF!</definedName>
    <definedName name="_5FF3_">#REF!</definedName>
    <definedName name="_5PBook_Area">#REF!</definedName>
    <definedName name="_6_?쨲?f">#REF!</definedName>
    <definedName name="_6FF3_">#REF!</definedName>
    <definedName name="_6PBook_Area">#REF!</definedName>
    <definedName name="_6x1_">#REF!</definedName>
    <definedName name="_7PBook_Area">#REF!</definedName>
    <definedName name="_7x1_">#REF!</definedName>
    <definedName name="_7x2_">#REF!</definedName>
    <definedName name="_84__0_S" hidden="1">#REF!</definedName>
    <definedName name="_8x1_">#REF!</definedName>
    <definedName name="_8x2_">#REF!</definedName>
    <definedName name="_9x2_">#REF!</definedName>
    <definedName name="_aof2">#REF!</definedName>
    <definedName name="_DAT1">#REF!</definedName>
    <definedName name="_DAT2">#REF!</definedName>
    <definedName name="_DAT3">#REF!</definedName>
    <definedName name="_DAT4">#REF!</definedName>
    <definedName name="_DAT5">#REF!</definedName>
    <definedName name="_DAT6">#REF!</definedName>
    <definedName name="_DAT7">#REF!</definedName>
    <definedName name="_DAT8">#REF!</definedName>
    <definedName name="_DAT9">#REF!</definedName>
    <definedName name="_fci2">[2]!_fci2</definedName>
    <definedName name="_xlnm._FilterDatabase" hidden="1">#REF!</definedName>
    <definedName name="_Order2" hidden="1">255</definedName>
    <definedName name="_pay2">#REF!</definedName>
    <definedName name="_PLT1">#REF!</definedName>
    <definedName name="_PLT2">#REF!</definedName>
    <definedName name="_Sort" hidden="1">#REF!</definedName>
    <definedName name="¤A¤A">#REF!</definedName>
    <definedName name="¤μ¤μ">#REF!</definedName>
    <definedName name="【95年">#REF!</definedName>
    <definedName name="±a¾E°ⓒ">#REF!</definedName>
    <definedName name="±a¾EA≫">#REF!</definedName>
    <definedName name="√">"SQRT"</definedName>
    <definedName name="○">#REF!</definedName>
    <definedName name="↑">#REF!</definedName>
    <definedName name="A">"?A*"</definedName>
    <definedName name="AA">#REF!</definedName>
    <definedName name="AAA">#REF!</definedName>
    <definedName name="AAAA">#REF!</definedName>
    <definedName name="AAAA.XLS">#REF!</definedName>
    <definedName name="aaaaaaaaaaa">#N/A</definedName>
    <definedName name="ab">#REF!</definedName>
    <definedName name="abc">#REF!</definedName>
    <definedName name="Access_Button" hidden="1">"업체현황_카드발송_List"</definedName>
    <definedName name="Access_Button1" hidden="1">"업체현황_카드발송_List"</definedName>
    <definedName name="Access_Button2" hidden="1">"업체현황_카드발송_List"</definedName>
    <definedName name="Access_Button3" hidden="1">"카드발송_카드발송_List1"</definedName>
    <definedName name="Access_Button4" hidden="1">"업체현황_카드발송_List"</definedName>
    <definedName name="AccessDatabase" hidden="1">"C:\dnkim\협력업체\카드발송.mdb"</definedName>
    <definedName name="AI¿ø3">#REF!</definedName>
    <definedName name="all">#REF!</definedName>
    <definedName name="ALTSS">#REF!</definedName>
    <definedName name="AS">#REF!</definedName>
    <definedName name="AS.BB">#REF!</definedName>
    <definedName name="aut">#REF!</definedName>
    <definedName name="AZ">#REF!</definedName>
    <definedName name="B">#REF!</definedName>
    <definedName name="b23RTDKDK">#REF!</definedName>
    <definedName name="BASE">#REF!</definedName>
    <definedName name="bb">#REF!</definedName>
    <definedName name="bbb">#REF!</definedName>
    <definedName name="Blatt1">#REF!</definedName>
    <definedName name="Blatt11">#REF!</definedName>
    <definedName name="Blatt12">#REF!</definedName>
    <definedName name="Blatt13">#REF!</definedName>
    <definedName name="Blatt3">#REF!</definedName>
    <definedName name="BRKT_ASST">#REF!</definedName>
    <definedName name="bRTDKDK">#REF!</definedName>
    <definedName name="btw_01">#REF!,#REF!,#REF!,#REF!,#REF!,#REF!,#REF!,#REF!,#REF!</definedName>
    <definedName name="btw_03">#REF!,#REF!,#REF!,#REF!,#REF!</definedName>
    <definedName name="cc">#REF!</definedName>
    <definedName name="CCC">#REF!</definedName>
    <definedName name="CDE">#REF!</definedName>
    <definedName name="CM">#REF!</definedName>
    <definedName name="CMK">#REF!</definedName>
    <definedName name="con">#REF!</definedName>
    <definedName name="COPY영역">#REF!</definedName>
    <definedName name="CP">#REF!</definedName>
    <definedName name="CPK">#REF!</definedName>
    <definedName name="CRTC">#REF!</definedName>
    <definedName name="d">[2]!d</definedName>
    <definedName name="data">#REF!</definedName>
    <definedName name="data03">#REF!</definedName>
    <definedName name="data1">#REF!</definedName>
    <definedName name="DD">#REF!</definedName>
    <definedName name="DDD">#REF!</definedName>
    <definedName name="ddddddddd">#N/A</definedName>
    <definedName name="dek">#REF!</definedName>
    <definedName name="deka1">[2]!deka1</definedName>
    <definedName name="DL">#REF!</definedName>
    <definedName name="DLEHD">#REF!</definedName>
    <definedName name="DM">#REF!</definedName>
    <definedName name="DSA">#REF!</definedName>
    <definedName name="E">[2]!E</definedName>
    <definedName name="ED3__회훈_71.4_신창_4.9">#REF!</definedName>
    <definedName name="EE">[2]!EE</definedName>
    <definedName name="EGR">[2]!EGR</definedName>
    <definedName name="EO">#REF!</definedName>
    <definedName name="EO관리신">#REF!</definedName>
    <definedName name="ER">#REF!</definedName>
    <definedName name="ERP">#REF!</definedName>
    <definedName name="EV_6_Natural__1호기">#REF!</definedName>
    <definedName name="EWQFREW">[2]!EWQFREW</definedName>
    <definedName name="f">#N/A</definedName>
    <definedName name="FC_00">0</definedName>
    <definedName name="FC_01">70700</definedName>
    <definedName name="FC_02">74700</definedName>
    <definedName name="FC_03">76300</definedName>
    <definedName name="FC_04">77700</definedName>
    <definedName name="FC_05">78200</definedName>
    <definedName name="FC_06">78300</definedName>
    <definedName name="FC_07">3900+79200</definedName>
    <definedName name="FC_99">0</definedName>
    <definedName name="FDFS">#REF!</definedName>
    <definedName name="FF">#REF!</definedName>
    <definedName name="FFF">#REF!</definedName>
    <definedName name="FFFFF">#REF!</definedName>
    <definedName name="fg">#REF!</definedName>
    <definedName name="FG24RTDKDK">#REF!</definedName>
    <definedName name="FGR12C15TBTB1RTDKDK">#REF!</definedName>
    <definedName name="fgTBTB3RTDKDK">#REF!</definedName>
    <definedName name="fgTBTB4RTDKDK">#REF!</definedName>
    <definedName name="FIUOP">[2]!FIUOP</definedName>
    <definedName name="FO_00">56900</definedName>
    <definedName name="FO_01">60800</definedName>
    <definedName name="FO_02">68700</definedName>
    <definedName name="FO_03">70200</definedName>
    <definedName name="FO_04">69200</definedName>
    <definedName name="FO_05">36300</definedName>
    <definedName name="FO_06">0</definedName>
    <definedName name="FO_07">0</definedName>
    <definedName name="FO_99">23700</definedName>
    <definedName name="Folgeseiten">#REF!</definedName>
    <definedName name="GFDGFSDAG">#REF!</definedName>
    <definedName name="GG">#REF!</definedName>
    <definedName name="ggg">#N/A</definedName>
    <definedName name="GH">#REF!</definedName>
    <definedName name="H">"Text 853"</definedName>
    <definedName name="H11A01K">#REF!</definedName>
    <definedName name="Height">20</definedName>
    <definedName name="HH">#REF!</definedName>
    <definedName name="hhhhh">#N/A</definedName>
    <definedName name="HHHHHH">#REF!</definedName>
    <definedName name="II">#REF!</definedName>
    <definedName name="INSETPRESS">[2]!INSETPRESS</definedName>
    <definedName name="JJ">#REF!</definedName>
    <definedName name="K">#REF!</definedName>
    <definedName name="KJH">#REF!</definedName>
    <definedName name="KK">#REF!</definedName>
    <definedName name="LC_00">281000</definedName>
    <definedName name="LC_01">258000</definedName>
    <definedName name="LC_02">256600</definedName>
    <definedName name="LC_03">256600</definedName>
    <definedName name="LC_04">118200</definedName>
    <definedName name="LC_05">0</definedName>
    <definedName name="LC_06">0</definedName>
    <definedName name="LC_07">0</definedName>
    <definedName name="LC_99">160400</definedName>
    <definedName name="LCI">#REF!</definedName>
    <definedName name="lee">#REF!</definedName>
    <definedName name="LIST">#REF!</definedName>
    <definedName name="LL">[2]!LL</definedName>
    <definedName name="LUMILEDS1">[2]!LUMILEDS1</definedName>
    <definedName name="LZ_00">15000</definedName>
    <definedName name="LZ_01">24000</definedName>
    <definedName name="LZ_02">37000</definedName>
    <definedName name="LZ_03">39500</definedName>
    <definedName name="LZ_04">34500</definedName>
    <definedName name="LZ_05">0</definedName>
    <definedName name="LZ_06">0</definedName>
    <definedName name="LZ_07">0</definedName>
    <definedName name="LZ_99">8000</definedName>
    <definedName name="Macro12">#REF!</definedName>
    <definedName name="Macro13">#REF!</definedName>
    <definedName name="Macro15">#REF!</definedName>
    <definedName name="Macro16">#REF!</definedName>
    <definedName name="Macro2">#REF!</definedName>
    <definedName name="Macro21">#REF!</definedName>
    <definedName name="Macro6">#REF!</definedName>
    <definedName name="MCP">#REF!</definedName>
    <definedName name="MENU">[2]!MENU</definedName>
    <definedName name="MMM">#REF!</definedName>
    <definedName name="MSFSFF">#REF!</definedName>
    <definedName name="MS검사구">#REF!</definedName>
    <definedName name="MULTEC2월">#N/A</definedName>
    <definedName name="M행">#REF!</definedName>
    <definedName name="NEWTABLE">#REF!</definedName>
    <definedName name="NN">[2]!NN</definedName>
    <definedName name="N행">#REF!</definedName>
    <definedName name="O">[2]!O</definedName>
    <definedName name="OO">[2]!OO</definedName>
    <definedName name="O행">#REF!</definedName>
    <definedName name="P">[2]!P</definedName>
    <definedName name="PBook0Area">#REF!</definedName>
    <definedName name="plt">#REF!</definedName>
    <definedName name="pltt">#REF!</definedName>
    <definedName name="pnl">#REF!</definedName>
    <definedName name="POlkpdpdukukprprrkrkrtMtbtbtb39">#REF!</definedName>
    <definedName name="POlkprprrkrkrkpdpdukukukukrtMtb">#REF!</definedName>
    <definedName name="POR1C1R59C22RTSQKS15C6LRTPPPPPT">#REF!</definedName>
    <definedName name="POR3C1R6C31rtMtbtbtb4tb4rtrtGMR">#REF!</definedName>
    <definedName name="POR3C1R6C59rtMtbtbtb4tb4rtrtGMR">#REF!</definedName>
    <definedName name="POR439C124RTSQKS15C4LRTM0TB0TB0">#REF!</definedName>
    <definedName name="POR5C1R6C33rtMtbtbtb2tb2rtrtGMR">#REF!</definedName>
    <definedName name="POR5C1R6C34rtMtbtbtb2tb2rtrtGMR">#REF!</definedName>
    <definedName name="POR6C1R7C34rtMtbtbtb2tb2rtrtGMR">#REF!</definedName>
    <definedName name="PPP">#REF!</definedName>
    <definedName name="PPPPPPPP">#REF!</definedName>
    <definedName name="_xlnm.Print_Area">#REF!</definedName>
    <definedName name="Print_Area_MI">#REF!</definedName>
    <definedName name="PRINT_TITLES_MI">#REF!</definedName>
    <definedName name="print1">#REF!</definedName>
    <definedName name="print2">#REF!</definedName>
    <definedName name="print3">#REF!</definedName>
    <definedName name="print4">#REF!</definedName>
    <definedName name="print5">#REF!</definedName>
    <definedName name="print6">#REF!</definedName>
    <definedName name="print7">#REF!</definedName>
    <definedName name="print8">#REF!</definedName>
    <definedName name="print9">#REF!</definedName>
    <definedName name="PRINTT">[2]!PRINTT</definedName>
    <definedName name="PRO금">[2]!PRO금</definedName>
    <definedName name="PSMPLQ12C4LRTOR339C224RTMTBTBTB">#REF!</definedName>
    <definedName name="P금견">[2]!P금견</definedName>
    <definedName name="P행">#REF!</definedName>
    <definedName name="QQ">#REF!</definedName>
    <definedName name="QQQ">[2]!QQQ</definedName>
    <definedName name="QQQQ">#REF!</definedName>
    <definedName name="QQQQQ">#REF!</definedName>
    <definedName name="QQQQQQ">#REF!</definedName>
    <definedName name="qqqqqqqqqqq">#N/A</definedName>
    <definedName name="qqqqqqqqqqqqqq">#N/A</definedName>
    <definedName name="Q측정TER">[2]!Q측정TER</definedName>
    <definedName name="Q행">#REF!</definedName>
    <definedName name="RATE">#REF!</definedName>
    <definedName name="rbar">#REF!</definedName>
    <definedName name="_xlnm.Recorder">#REF!</definedName>
    <definedName name="RFQREWQ">[2]!RFQREWQ</definedName>
    <definedName name="RMRMR">#REF!</definedName>
    <definedName name="RR">#REF!</definedName>
    <definedName name="rrpnl">#REF!</definedName>
    <definedName name="RT¿i≫e½ARTDKDK">#REF!</definedName>
    <definedName name="rtclsprtdkGMrtrt">#REF!</definedName>
    <definedName name="rtclsprtdkrtGMrtrt">#REF!</definedName>
    <definedName name="RTCL울산시RTDK">#REF!</definedName>
    <definedName name="RT울산시RTDKDK">#REF!</definedName>
    <definedName name="R행">#REF!</definedName>
    <definedName name="S02303160">#REF!</definedName>
    <definedName name="sdfa">[2]!sdfa</definedName>
    <definedName name="SDFG">#REF!</definedName>
    <definedName name="SHEET2">[2]!SHEET2</definedName>
    <definedName name="sk">#REF!</definedName>
    <definedName name="SKFK">#REF!</definedName>
    <definedName name="SM_00">63400</definedName>
    <definedName name="SM_01">77300</definedName>
    <definedName name="SM_02">82700</definedName>
    <definedName name="SM_03">85100</definedName>
    <definedName name="SM_04">85700</definedName>
    <definedName name="SM_05">78300</definedName>
    <definedName name="SM_06">3000</definedName>
    <definedName name="SM_07">0</definedName>
    <definedName name="SM_99">4000</definedName>
    <definedName name="SR_00">32600</definedName>
    <definedName name="SR_01">38500</definedName>
    <definedName name="SR_02">46100</definedName>
    <definedName name="SR_03">52700</definedName>
    <definedName name="SR_04">53900</definedName>
    <definedName name="SR_05">55400</definedName>
    <definedName name="SR_06">56500</definedName>
    <definedName name="SR_07">57300</definedName>
    <definedName name="SR_99">20700</definedName>
    <definedName name="SS">#REF!</definedName>
    <definedName name="SSS">#REF!</definedName>
    <definedName name="StartValue">32</definedName>
    <definedName name="StepValue">0.16</definedName>
    <definedName name="S행">#REF!</definedName>
    <definedName name="T">[2]!T</definedName>
    <definedName name="TEST0">#REF!</definedName>
    <definedName name="TESTHKEY">#REF!</definedName>
    <definedName name="TESTKEYS">#REF!</definedName>
    <definedName name="TESTVKEY">#REF!</definedName>
    <definedName name="TIP">#REF!</definedName>
    <definedName name="TKDTP">[2]!TKDTP</definedName>
    <definedName name="TREE">#REF!</definedName>
    <definedName name="TT">#REF!</definedName>
    <definedName name="ttt">#REF!</definedName>
    <definedName name="TY">#REF!</definedName>
    <definedName name="T행">#REF!</definedName>
    <definedName name="U">[2]!U</definedName>
    <definedName name="UU">#REF!</definedName>
    <definedName name="U행">#REF!</definedName>
    <definedName name="VUKUK1DKDK">#REF!</definedName>
    <definedName name="VUKUK1RTDKDK">#REF!</definedName>
    <definedName name="VV">[2]!VV</definedName>
    <definedName name="VVV">#REF!</definedName>
    <definedName name="V행">#REF!</definedName>
    <definedName name="W">#REF!</definedName>
    <definedName name="WCa">#REF!</definedName>
    <definedName name="WELD">#REF!</definedName>
    <definedName name="Width">5</definedName>
    <definedName name="WW">[2]!WW</definedName>
    <definedName name="WWW">#REF!</definedName>
    <definedName name="W행">#REF!</definedName>
    <definedName name="x">#REF!</definedName>
    <definedName name="XBAR">#REF!</definedName>
    <definedName name="XD_00">169900</definedName>
    <definedName name="XD_01">272600</definedName>
    <definedName name="XD_02">301800</definedName>
    <definedName name="XD_03">309400</definedName>
    <definedName name="XD_04">309100</definedName>
    <definedName name="XD_05">114700</definedName>
    <definedName name="XD_06">26600</definedName>
    <definedName name="XD_07">0</definedName>
    <definedName name="XD_99">0</definedName>
    <definedName name="X행">#REF!</definedName>
    <definedName name="Y">[2]!Y</definedName>
    <definedName name="YY">#REF!</definedName>
    <definedName name="Y부서">#REF!</definedName>
    <definedName name="ZZZC">#REF!</definedName>
    <definedName name="ZZZZZZZZZZZZ">#REF!</definedName>
    <definedName name="π">PI()</definedName>
    <definedName name="가">#REF!</definedName>
    <definedName name="가가가">#REF!</definedName>
    <definedName name="가동율">[2]!가동율</definedName>
    <definedName name="가라">#REF!</definedName>
    <definedName name="갈매">#REF!</definedName>
    <definedName name="결재">[2]!결재</definedName>
    <definedName name="경비현황">[2]!경비현황</definedName>
    <definedName name="경비현황.2">[2]!경비현황.2</definedName>
    <definedName name="경비현황2">[2]!경비현황2</definedName>
    <definedName name="공1">#REF!</definedName>
    <definedName name="공장2">#REF!</definedName>
    <definedName name="공장3">#REF!</definedName>
    <definedName name="공혈">#REF!</definedName>
    <definedName name="공혈문제견본">#REF!</definedName>
    <definedName name="교육">[2]!교육</definedName>
    <definedName name="교육계획2">[2]!교육계획2</definedName>
    <definedName name="구칠금형">#REF!</definedName>
    <definedName name="권선">#N/A</definedName>
    <definedName name="근본">#REF!</definedName>
    <definedName name="金額">#REF!</definedName>
    <definedName name="급여인상2">[2]!급여인상2</definedName>
    <definedName name="기">#REF!</definedName>
    <definedName name="기아">#REF!</definedName>
    <definedName name="기안갑">#REF!</definedName>
    <definedName name="기안을">#REF!</definedName>
    <definedName name="김영준">#REF!</definedName>
    <definedName name="ㄴ">#REF!</definedName>
    <definedName name="ㄴㄴ">[2]!ㄴㄴ</definedName>
    <definedName name="ㄴㄴㄴㄴㄴ">[2]!ㄴㄴㄴㄴㄴ</definedName>
    <definedName name="나">#REF!</definedName>
    <definedName name="나라">#REF!</definedName>
    <definedName name="남규석">#REF!</definedName>
    <definedName name="납품보고">#REF!</definedName>
    <definedName name="ㄷ">#REF!</definedName>
    <definedName name="ㄷㅇㄹㄷㅇ">[2]!ㄷㅇㄹㄷㅇ</definedName>
    <definedName name="ㄷㅈㄷ">[2]!ㄷㅈㄷ</definedName>
    <definedName name="ㄷㅍ6">#REF!</definedName>
    <definedName name="다">#REF!</definedName>
    <definedName name="다이아">[2]!다이아</definedName>
    <definedName name="단위">1000</definedName>
    <definedName name="單位阡원_阡￥">#REF!</definedName>
    <definedName name="당해사업년도의_감사내부감사의_">#REF!</definedName>
    <definedName name="대">#REF!</definedName>
    <definedName name="대회">#REF!</definedName>
    <definedName name="디코프라스틱">#REF!</definedName>
    <definedName name="ㄹㄷㅂ">[2]!ㄹㄷㅂ</definedName>
    <definedName name="ㄹㄹ">#REF!</definedName>
    <definedName name="라">#REF!</definedName>
    <definedName name="ㅁ1">#REF!</definedName>
    <definedName name="ㅁ169">#REF!</definedName>
    <definedName name="ㅁddd">#REF!</definedName>
    <definedName name="ㅁㄴㅇ">#REF!</definedName>
    <definedName name="ㅁㄴㅇㄱ">#REF!</definedName>
    <definedName name="ㅁㅁㅁㅁㅁ">[2]!ㅁㅁㅁㅁㅁ</definedName>
    <definedName name="마">#REF!</definedName>
    <definedName name="매출이익">#REF!</definedName>
    <definedName name="매크로10">#REF!</definedName>
    <definedName name="매크로12">#REF!</definedName>
    <definedName name="매크로13">#REF!</definedName>
    <definedName name="민">#REF!</definedName>
    <definedName name="ㅂㅈㄷㅌ">#REF!</definedName>
    <definedName name="바">#REF!</definedName>
    <definedName name="반도기전">#REF!</definedName>
    <definedName name="발">#REF!</definedName>
    <definedName name="방청A">#REF!</definedName>
    <definedName name="방청B">#REF!</definedName>
    <definedName name="백만">1000000</definedName>
    <definedName name="벗">#REF!</definedName>
    <definedName name="변경">#REF!</definedName>
    <definedName name="본인">#REF!</definedName>
    <definedName name="부___문">#REF!</definedName>
    <definedName name="불량대책서">[2]!불량대책서</definedName>
    <definedName name="ㅅㅅ">#REF!</definedName>
    <definedName name="사">#REF!</definedName>
    <definedName name="사업부문">#REF!</definedName>
    <definedName name="삭제">[2]!삭제</definedName>
    <definedName name="삼">#REF!</definedName>
    <definedName name="삼부고무">#REF!</definedName>
    <definedName name="삼우합금">#REF!</definedName>
    <definedName name="삼풍전선">#REF!</definedName>
    <definedName name="삼풍화학">#REF!</definedName>
    <definedName name="상세견적서2">[2]!상세견적서2</definedName>
    <definedName name="생산계획1월">#N/A</definedName>
    <definedName name="생산량">#REF!</definedName>
    <definedName name="생산성">[2]!생산성</definedName>
    <definedName name="생산성분석">#REF!</definedName>
    <definedName name="센싸타">[2]!센싸타</definedName>
    <definedName name="셀리카" hidden="1">#REF!</definedName>
    <definedName name="소">#REF!</definedName>
    <definedName name="小">#REF!</definedName>
    <definedName name="소물_BRKT_SUB_용접RH">#REF!</definedName>
    <definedName name="송림수출포장">#REF!</definedName>
    <definedName name="순서">#REF!</definedName>
    <definedName name="신규자">#REF!</definedName>
    <definedName name="신규자T">#REF!</definedName>
    <definedName name="신도정밀">#REF!</definedName>
    <definedName name="실적">[2]!실적</definedName>
    <definedName name="십이월">#REF!</definedName>
    <definedName name="ㅇㄻㄴㅇㄻㄴ">#REF!</definedName>
    <definedName name="ㅇㅀㅀ">[2]!ㅇㅀㅀ</definedName>
    <definedName name="ㅇㅁㅇ">[2]!ㅇㅁㅇ</definedName>
    <definedName name="ㅇㅁㅇㅇ">[2]!ㅇㅁㅇㅇ</definedName>
    <definedName name="ㅇㅇ">[2]!ㅇㅇ</definedName>
    <definedName name="ㅇㅇㅇ">#N/A</definedName>
    <definedName name="ㅇㅇㅇㅇㅇ">[2]!ㅇㅇㅇㅇㅇ</definedName>
    <definedName name="ㅇㅎㅇ로ㅓ">#REF!</definedName>
    <definedName name="아">#REF!</definedName>
    <definedName name="야">[2]!야</definedName>
    <definedName name="업무지시">#REF!</definedName>
    <definedName name="업체명">#REF!</definedName>
    <definedName name="업체주소">#REF!</definedName>
    <definedName name="여여영">#REF!</definedName>
    <definedName name="영">#REF!</definedName>
    <definedName name="영신산업">#REF!</definedName>
    <definedName name="영업통보">#REF!</definedName>
    <definedName name="영역1">#REF!</definedName>
    <definedName name="오">#REF!</definedName>
    <definedName name="오인원">#REF!</definedName>
    <definedName name="외__감">#REF!</definedName>
    <definedName name="원">1</definedName>
    <definedName name="월_판매">#REF!</definedName>
    <definedName name="유니크감천">#REF!</definedName>
    <definedName name="유니크김해">#REF!</definedName>
    <definedName name="유종혁">[2]!유종혁</definedName>
    <definedName name="은성산업">#REF!</definedName>
    <definedName name="음삭제">[2]!음삭제</definedName>
    <definedName name="의1">#REF!</definedName>
    <definedName name="의뢰">#REF!</definedName>
    <definedName name="이동">#REF!</definedName>
    <definedName name="인건비">[2]!인건비</definedName>
    <definedName name="인원3">#REF!</definedName>
    <definedName name="인원배치">#REF!</definedName>
    <definedName name="일">[2]!일</definedName>
    <definedName name="일반현황">#REF!</definedName>
    <definedName name="임시">#REF!</definedName>
    <definedName name="ㅈㄷㄷ">[2]!ㅈㄷㄷ</definedName>
    <definedName name="ㅈㅈㅈ">[2]!ㅈㅈㅈ</definedName>
    <definedName name="자">#REF!</definedName>
    <definedName name="전장">#REF!</definedName>
    <definedName name="전환배품">#REF!</definedName>
    <definedName name="제목">#REF!</definedName>
    <definedName name="조사">#REF!</definedName>
    <definedName name="조직1">#REF!</definedName>
    <definedName name="주소">#REF!</definedName>
    <definedName name="주요업무실적">#REF!</definedName>
    <definedName name="지침">#REF!</definedName>
    <definedName name="직접직자료">#REF!</definedName>
    <definedName name="ㅊㄹㄷㄱ">#REF!</definedName>
    <definedName name="차">#REF!</definedName>
    <definedName name="차체">#REF!</definedName>
    <definedName name="첨부">#REF!</definedName>
    <definedName name="첨부1.공급방안">#REF!</definedName>
    <definedName name="첨부신상">#REF!</definedName>
    <definedName name="총합계">#REF!</definedName>
    <definedName name="최대값">#REF!</definedName>
    <definedName name="최소값">#REF!</definedName>
    <definedName name="ㅋ">[2]!ㅋ</definedName>
    <definedName name="ㅋㄴㄴㅁ">#REF!</definedName>
    <definedName name="카메라">[2]!카메라</definedName>
    <definedName name="ㅌㅌㅌㅊㅍ">#REF!</definedName>
    <definedName name="태양단자">#REF!</definedName>
    <definedName name="특장">#REF!</definedName>
    <definedName name="평균">#REF!</definedName>
    <definedName name="표3">[2]!표3</definedName>
    <definedName name="표준편차">#REF!</definedName>
    <definedName name="표지BR">[2]!표지BR</definedName>
    <definedName name="표지BRCK">[2]!표지BRCK</definedName>
    <definedName name="품질경영팀">[2]!품질경영팀</definedName>
    <definedName name="ㅎ">[2]!ㅎ</definedName>
    <definedName name="ㅎㅎㅎㅎㅎㅎ">#REF!</definedName>
    <definedName name="한국FCI">#REF!</definedName>
    <definedName name="합">#REF!</definedName>
    <definedName name="협동회가입">#REF!</definedName>
    <definedName name="확정하여_보고할것.">#REF!</definedName>
    <definedName name="활동이력">#REF!</definedName>
    <definedName name="회의">#REF!</definedName>
    <definedName name="회의자료">#REF!</definedName>
    <definedName name="효율">[2]!효율</definedName>
    <definedName name="흵____R3_t">#REF!</definedName>
    <definedName name="ㅕㅕ">#REF!</definedName>
    <definedName name="ㅗ허ㅏ">#REF!</definedName>
    <definedName name="ㅗㅓ">[2]!ㅗㅓ</definedName>
    <definedName name="ㅜㅜㅜㅡ">#REF!</definedName>
    <definedName name="ㅠ">#REF!</definedName>
    <definedName name="ㅣㅣㅐㅐㅔ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47" i="1" l="1"/>
  <c r="O45" i="1"/>
  <c r="N45" i="1"/>
  <c r="M45" i="1"/>
  <c r="L45" i="1"/>
  <c r="K45" i="1"/>
  <c r="J45" i="1"/>
  <c r="I45" i="1"/>
  <c r="H45" i="1"/>
  <c r="G45" i="1"/>
  <c r="F45" i="1"/>
  <c r="E45" i="1"/>
  <c r="D45" i="1"/>
  <c r="C45" i="1"/>
  <c r="B45" i="1"/>
  <c r="A45" i="1"/>
  <c r="O44" i="1"/>
  <c r="N44" i="1"/>
  <c r="M44" i="1"/>
  <c r="L44" i="1"/>
  <c r="K44" i="1"/>
  <c r="J44" i="1"/>
  <c r="I44" i="1"/>
  <c r="H44" i="1"/>
  <c r="G44" i="1"/>
  <c r="F44" i="1"/>
  <c r="E44" i="1"/>
  <c r="D44" i="1"/>
  <c r="C44" i="1"/>
  <c r="B44" i="1"/>
  <c r="A44" i="1"/>
  <c r="O43" i="1"/>
  <c r="N43" i="1"/>
  <c r="M43" i="1"/>
  <c r="L43" i="1"/>
  <c r="K43" i="1"/>
  <c r="J43" i="1"/>
  <c r="I43" i="1"/>
  <c r="H43" i="1"/>
  <c r="G43" i="1"/>
  <c r="F43" i="1"/>
  <c r="E43" i="1"/>
  <c r="D43" i="1"/>
  <c r="C43" i="1"/>
  <c r="B43" i="1"/>
  <c r="A43" i="1"/>
  <c r="O42" i="1"/>
  <c r="N42" i="1"/>
  <c r="M42" i="1"/>
  <c r="L42" i="1"/>
  <c r="K42" i="1"/>
  <c r="J42" i="1"/>
  <c r="I42" i="1"/>
  <c r="H42" i="1"/>
  <c r="G42" i="1"/>
  <c r="F42" i="1"/>
  <c r="E42" i="1"/>
  <c r="D42" i="1"/>
  <c r="C42" i="1"/>
  <c r="B42" i="1"/>
  <c r="A42" i="1"/>
  <c r="O41" i="1"/>
  <c r="N41" i="1"/>
  <c r="M41" i="1"/>
  <c r="L41" i="1"/>
  <c r="K41" i="1"/>
  <c r="J41" i="1"/>
  <c r="I41" i="1"/>
  <c r="H41" i="1"/>
  <c r="G41" i="1"/>
  <c r="F41" i="1"/>
  <c r="E41" i="1"/>
  <c r="D41" i="1"/>
  <c r="C41" i="1"/>
  <c r="B41" i="1"/>
  <c r="A41" i="1"/>
  <c r="O40" i="1"/>
  <c r="N40" i="1"/>
  <c r="M40" i="1"/>
  <c r="L40" i="1"/>
  <c r="K40" i="1"/>
  <c r="J40" i="1"/>
  <c r="I40" i="1"/>
  <c r="H40" i="1"/>
  <c r="G40" i="1"/>
  <c r="F40" i="1"/>
  <c r="E40" i="1"/>
  <c r="D40" i="1"/>
  <c r="C40" i="1"/>
  <c r="B40" i="1"/>
  <c r="A40" i="1"/>
  <c r="O39" i="1"/>
  <c r="N39" i="1"/>
  <c r="M39" i="1"/>
  <c r="L39" i="1"/>
  <c r="K39" i="1"/>
  <c r="J39" i="1"/>
  <c r="I39" i="1"/>
  <c r="H39" i="1"/>
  <c r="G39" i="1"/>
  <c r="F39" i="1"/>
  <c r="E39" i="1"/>
  <c r="D39" i="1"/>
  <c r="C39" i="1"/>
  <c r="B39" i="1"/>
  <c r="A39" i="1"/>
  <c r="O38" i="1"/>
  <c r="N38" i="1"/>
  <c r="M38" i="1"/>
  <c r="L38" i="1"/>
  <c r="K38" i="1"/>
  <c r="J38" i="1"/>
  <c r="I38" i="1"/>
  <c r="H38" i="1"/>
  <c r="G38" i="1"/>
  <c r="F38" i="1"/>
  <c r="E38" i="1"/>
  <c r="D38" i="1"/>
  <c r="C38" i="1"/>
  <c r="B38" i="1"/>
  <c r="A38" i="1"/>
  <c r="O37" i="1"/>
  <c r="N37" i="1"/>
  <c r="M37" i="1"/>
  <c r="L37" i="1"/>
  <c r="K37" i="1"/>
  <c r="J37" i="1"/>
  <c r="I37" i="1"/>
  <c r="H37" i="1"/>
  <c r="G37" i="1"/>
  <c r="F37" i="1"/>
  <c r="E37" i="1"/>
  <c r="D37" i="1"/>
  <c r="C37" i="1"/>
  <c r="B37" i="1"/>
  <c r="A37" i="1"/>
  <c r="O36" i="1"/>
  <c r="N36" i="1"/>
  <c r="M36" i="1"/>
  <c r="L36" i="1"/>
  <c r="K36" i="1"/>
  <c r="J36" i="1"/>
  <c r="I36" i="1"/>
  <c r="H36" i="1"/>
  <c r="G36" i="1"/>
  <c r="F36" i="1"/>
  <c r="E36" i="1"/>
  <c r="D36" i="1"/>
  <c r="C36" i="1"/>
  <c r="B36" i="1"/>
  <c r="A36" i="1"/>
  <c r="O35" i="1"/>
  <c r="N35" i="1"/>
  <c r="M35" i="1"/>
  <c r="L35" i="1"/>
  <c r="K35" i="1"/>
  <c r="J35" i="1"/>
  <c r="I35" i="1"/>
  <c r="H35" i="1"/>
  <c r="G35" i="1"/>
  <c r="F35" i="1"/>
  <c r="E35" i="1"/>
  <c r="D35" i="1"/>
  <c r="C35" i="1"/>
  <c r="B35" i="1"/>
  <c r="A35" i="1"/>
  <c r="O34" i="1"/>
  <c r="N34" i="1"/>
  <c r="M34" i="1"/>
  <c r="L34" i="1"/>
  <c r="K34" i="1"/>
  <c r="J34" i="1"/>
  <c r="I34" i="1"/>
  <c r="H34" i="1"/>
  <c r="G34" i="1"/>
  <c r="F34" i="1"/>
  <c r="E34" i="1"/>
  <c r="D34" i="1"/>
  <c r="C34" i="1"/>
  <c r="B34" i="1"/>
  <c r="A34" i="1"/>
  <c r="O33" i="1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29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28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27" i="1"/>
  <c r="O26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O25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O24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O22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O15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O14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O13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O12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O11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O10" i="1"/>
  <c r="N10" i="1"/>
  <c r="M10" i="1"/>
  <c r="L10" i="1"/>
  <c r="K10" i="1"/>
  <c r="J10" i="1"/>
  <c r="I10" i="1"/>
  <c r="H10" i="1"/>
  <c r="G10" i="1"/>
  <c r="F10" i="1"/>
  <c r="E10" i="1"/>
  <c r="D10" i="1"/>
  <c r="C10" i="1"/>
  <c r="B10" i="1"/>
  <c r="A10" i="1"/>
  <c r="O9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O8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</calcChain>
</file>

<file path=xl/sharedStrings.xml><?xml version="1.0" encoding="utf-8"?>
<sst xmlns="http://schemas.openxmlformats.org/spreadsheetml/2006/main" count="14" uniqueCount="14">
  <si>
    <t>설비명</t>
  </si>
  <si>
    <t>품명</t>
  </si>
  <si>
    <t>양품수량</t>
  </si>
  <si>
    <t>불량수량</t>
  </si>
  <si>
    <t>합게수량</t>
  </si>
  <si>
    <t>투입시간</t>
  </si>
  <si>
    <t>가동시간</t>
  </si>
  <si>
    <t>비가동시간</t>
  </si>
  <si>
    <t>정미시간</t>
  </si>
  <si>
    <t>양품율</t>
  </si>
  <si>
    <t>성능가동율</t>
  </si>
  <si>
    <t>시간가동율</t>
  </si>
  <si>
    <t>종합효율</t>
  </si>
  <si>
    <t>목표효율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</si>
</sst>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1" formatCode="_-* #,##0_-;\-* #,##0_-;_-* &quot;-&quot;_-;_-@_-"/>
    <numFmt numFmtId="176" formatCode="_-* #,##0.00_-;\-* #,##0.00_-;_-* &quot;-&quot;_-;_-@_-"/>
    <numFmt numFmtId="177" formatCode="#.##%"/>
    <numFmt numFmtId="178" formatCode="m&quot;/&quot;d;@"/>
    <numFmt numFmtId="179" formatCode="0.0"/>
    <numFmt numFmtId="180" formatCode="0.0%"/>
  </numFmts>
  <fonts count="7" x14ac:knownFonts="1">
    <font>
      <sz val="11"/>
      <color theme="1"/>
      <name val="현대하모니 M"/>
      <family val="2"/>
      <charset val="129"/>
    </font>
    <font>
      <sz val="11"/>
      <color theme="1"/>
      <name val="현대하모니 M"/>
      <family val="1"/>
      <charset val="129"/>
    </font>
    <font>
      <sz val="8"/>
      <name val="현대하모니 M"/>
      <family val="2"/>
      <charset val="129"/>
    </font>
    <font>
      <sz val="11"/>
      <color indexed="8"/>
      <name val="맑은 고딕"/>
      <family val="3"/>
      <charset val="129"/>
    </font>
    <font>
      <sz val="11"/>
      <color indexed="8"/>
      <name val="현대하모니 M"/>
      <family val="1"/>
      <charset val="129"/>
    </font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indexed="64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thin">
        <color indexed="64"/>
      </right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indexed="64"/>
      </right>
      <top style="hair">
        <color auto="1"/>
      </top>
      <bottom style="hair">
        <color auto="1"/>
      </bottom>
      <diagonal/>
    </border>
  </borders>
  <cellStyleXfs count="6">
    <xf numFmtId="0" fontId="0" fillId="0" borderId="0">
      <alignment vertical="center"/>
    </xf>
    <xf numFmtId="41" fontId="6" fillId="0" borderId="0" applyFont="0" applyFill="0" applyBorder="0" applyAlignment="0" applyProtection="0">
      <alignment vertical="center"/>
    </xf>
    <xf numFmtId="9" fontId="6" fillId="0" borderId="0" applyFont="0" applyFill="0" applyBorder="0" applyAlignment="0" applyProtection="0">
      <alignment vertical="center"/>
    </xf>
    <xf numFmtId="0" fontId="3" fillId="0" borderId="0">
      <alignment vertical="center"/>
    </xf>
    <xf numFmtId="41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</cellStyleXfs>
  <cellXfs count="52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0" fontId="4" fillId="2" borderId="2" xfId="3" applyFont="1" applyFill="1" applyBorder="1" applyAlignment="1">
      <alignment horizontal="center" vertical="center" shrinkToFit="1"/>
    </xf>
    <xf numFmtId="0" fontId="4" fillId="2" borderId="3" xfId="3" applyFont="1" applyFill="1" applyBorder="1" applyAlignment="1">
      <alignment horizontal="center" vertical="center" shrinkToFit="1"/>
    </xf>
    <xf numFmtId="0" fontId="4" fillId="2" borderId="4" xfId="3" applyFont="1" applyFill="1" applyBorder="1" applyAlignment="1">
      <alignment horizontal="center" vertical="center" shrinkToFit="1"/>
    </xf>
    <xf numFmtId="176" fontId="4" fillId="2" borderId="2" xfId="4" applyNumberFormat="1" applyFont="1" applyFill="1" applyBorder="1" applyAlignment="1">
      <alignment horizontal="center" vertical="center" shrinkToFit="1"/>
    </xf>
    <xf numFmtId="176" fontId="4" fillId="2" borderId="3" xfId="4" applyNumberFormat="1" applyFont="1" applyFill="1" applyBorder="1" applyAlignment="1">
      <alignment horizontal="center" vertical="center" shrinkToFit="1"/>
    </xf>
    <xf numFmtId="176" fontId="4" fillId="2" borderId="4" xfId="4" applyNumberFormat="1" applyFont="1" applyFill="1" applyBorder="1" applyAlignment="1">
      <alignment horizontal="center" vertical="center" shrinkToFit="1"/>
    </xf>
    <xf numFmtId="10" fontId="4" fillId="2" borderId="2" xfId="5" applyNumberFormat="1" applyFont="1" applyFill="1" applyBorder="1" applyAlignment="1">
      <alignment horizontal="center" vertical="center" shrinkToFit="1"/>
    </xf>
    <xf numFmtId="177" fontId="4" fillId="2" borderId="3" xfId="5" applyNumberFormat="1" applyFont="1" applyFill="1" applyBorder="1" applyAlignment="1">
      <alignment horizontal="center" vertical="center" shrinkToFit="1"/>
    </xf>
    <xf numFmtId="177" fontId="4" fillId="2" borderId="4" xfId="5" applyNumberFormat="1" applyFont="1" applyFill="1" applyBorder="1" applyAlignment="1">
      <alignment horizontal="center" vertical="center" shrinkToFit="1"/>
    </xf>
    <xf numFmtId="177" fontId="4" fillId="2" borderId="5" xfId="5" applyNumberFormat="1" applyFont="1" applyFill="1" applyBorder="1" applyAlignment="1">
      <alignment horizontal="center" vertical="center" shrinkToFit="1"/>
    </xf>
    <xf numFmtId="178" fontId="4" fillId="2" borderId="5" xfId="4" applyNumberFormat="1" applyFont="1" applyFill="1" applyBorder="1" applyAlignment="1">
      <alignment horizontal="center" vertical="center" shrinkToFit="1"/>
    </xf>
    <xf numFmtId="0" fontId="1" fillId="3" borderId="0" xfId="0" applyFont="1" applyFill="1" applyAlignment="1">
      <alignment horizontal="center" vertical="center"/>
    </xf>
    <xf numFmtId="0" fontId="1" fillId="3" borderId="6" xfId="0" applyFont="1" applyFill="1" applyBorder="1">
      <alignment vertical="center"/>
    </xf>
    <xf numFmtId="41" fontId="1" fillId="3" borderId="7" xfId="1" applyFont="1" applyFill="1" applyBorder="1">
      <alignment vertical="center"/>
    </xf>
    <xf numFmtId="41" fontId="1" fillId="3" borderId="8" xfId="1" applyFont="1" applyFill="1" applyBorder="1">
      <alignment vertical="center"/>
    </xf>
    <xf numFmtId="41" fontId="1" fillId="3" borderId="9" xfId="1" applyFont="1" applyFill="1" applyBorder="1">
      <alignment vertical="center"/>
    </xf>
    <xf numFmtId="179" fontId="1" fillId="3" borderId="7" xfId="0" applyNumberFormat="1" applyFont="1" applyFill="1" applyBorder="1">
      <alignment vertical="center"/>
    </xf>
    <xf numFmtId="179" fontId="1" fillId="3" borderId="8" xfId="0" applyNumberFormat="1" applyFont="1" applyFill="1" applyBorder="1">
      <alignment vertical="center"/>
    </xf>
    <xf numFmtId="179" fontId="1" fillId="3" borderId="9" xfId="0" applyNumberFormat="1" applyFont="1" applyFill="1" applyBorder="1">
      <alignment vertical="center"/>
    </xf>
    <xf numFmtId="180" fontId="1" fillId="3" borderId="7" xfId="2" applyNumberFormat="1" applyFont="1" applyFill="1" applyBorder="1">
      <alignment vertical="center"/>
    </xf>
    <xf numFmtId="180" fontId="1" fillId="3" borderId="8" xfId="2" applyNumberFormat="1" applyFont="1" applyFill="1" applyBorder="1">
      <alignment vertical="center"/>
    </xf>
    <xf numFmtId="180" fontId="1" fillId="3" borderId="9" xfId="2" applyNumberFormat="1" applyFont="1" applyFill="1" applyBorder="1">
      <alignment vertical="center"/>
    </xf>
    <xf numFmtId="180" fontId="1" fillId="3" borderId="6" xfId="2" applyNumberFormat="1" applyFont="1" applyFill="1" applyBorder="1">
      <alignment vertical="center"/>
    </xf>
    <xf numFmtId="0" fontId="1" fillId="3" borderId="10" xfId="2" applyNumberFormat="1" applyFont="1" applyFill="1" applyBorder="1" applyAlignment="1">
      <alignment vertical="center" wrapText="1"/>
    </xf>
    <xf numFmtId="0" fontId="1" fillId="3" borderId="0" xfId="0" applyFont="1" applyFill="1">
      <alignment vertical="center"/>
    </xf>
    <xf numFmtId="0" fontId="1" fillId="3" borderId="11" xfId="0" applyFont="1" applyFill="1" applyBorder="1">
      <alignment vertical="center"/>
    </xf>
    <xf numFmtId="41" fontId="1" fillId="3" borderId="12" xfId="1" applyFont="1" applyFill="1" applyBorder="1">
      <alignment vertical="center"/>
    </xf>
    <xf numFmtId="41" fontId="1" fillId="3" borderId="13" xfId="1" applyFont="1" applyFill="1" applyBorder="1">
      <alignment vertical="center"/>
    </xf>
    <xf numFmtId="41" fontId="1" fillId="3" borderId="14" xfId="1" applyFont="1" applyFill="1" applyBorder="1">
      <alignment vertical="center"/>
    </xf>
    <xf numFmtId="179" fontId="1" fillId="3" borderId="12" xfId="0" applyNumberFormat="1" applyFont="1" applyFill="1" applyBorder="1">
      <alignment vertical="center"/>
    </xf>
    <xf numFmtId="179" fontId="1" fillId="3" borderId="13" xfId="0" applyNumberFormat="1" applyFont="1" applyFill="1" applyBorder="1">
      <alignment vertical="center"/>
    </xf>
    <xf numFmtId="179" fontId="1" fillId="3" borderId="14" xfId="0" applyNumberFormat="1" applyFont="1" applyFill="1" applyBorder="1">
      <alignment vertical="center"/>
    </xf>
    <xf numFmtId="180" fontId="1" fillId="3" borderId="12" xfId="2" applyNumberFormat="1" applyFont="1" applyFill="1" applyBorder="1">
      <alignment vertical="center"/>
    </xf>
    <xf numFmtId="180" fontId="1" fillId="3" borderId="13" xfId="2" applyNumberFormat="1" applyFont="1" applyFill="1" applyBorder="1">
      <alignment vertical="center"/>
    </xf>
    <xf numFmtId="180" fontId="1" fillId="3" borderId="14" xfId="2" applyNumberFormat="1" applyFont="1" applyFill="1" applyBorder="1">
      <alignment vertical="center"/>
    </xf>
    <xf numFmtId="180" fontId="1" fillId="3" borderId="11" xfId="2" applyNumberFormat="1" applyFont="1" applyFill="1" applyBorder="1">
      <alignment vertical="center"/>
    </xf>
    <xf numFmtId="0" fontId="1" fillId="3" borderId="11" xfId="2" applyNumberFormat="1" applyFont="1" applyFill="1" applyBorder="1" applyAlignment="1">
      <alignment vertical="center" wrapText="1"/>
    </xf>
    <xf numFmtId="0" fontId="1" fillId="3" borderId="5" xfId="0" applyFont="1" applyFill="1" applyBorder="1">
      <alignment vertical="center"/>
    </xf>
    <xf numFmtId="41" fontId="1" fillId="3" borderId="2" xfId="1" applyFont="1" applyFill="1" applyBorder="1">
      <alignment vertical="center"/>
    </xf>
    <xf numFmtId="41" fontId="1" fillId="3" borderId="3" xfId="1" applyFont="1" applyFill="1" applyBorder="1">
      <alignment vertical="center"/>
    </xf>
    <xf numFmtId="41" fontId="1" fillId="3" borderId="4" xfId="1" applyFont="1" applyFill="1" applyBorder="1">
      <alignment vertical="center"/>
    </xf>
    <xf numFmtId="179" fontId="1" fillId="3" borderId="2" xfId="0" applyNumberFormat="1" applyFont="1" applyFill="1" applyBorder="1">
      <alignment vertical="center"/>
    </xf>
    <xf numFmtId="179" fontId="1" fillId="3" borderId="3" xfId="0" applyNumberFormat="1" applyFont="1" applyFill="1" applyBorder="1">
      <alignment vertical="center"/>
    </xf>
    <xf numFmtId="179" fontId="1" fillId="3" borderId="4" xfId="0" applyNumberFormat="1" applyFont="1" applyFill="1" applyBorder="1">
      <alignment vertical="center"/>
    </xf>
    <xf numFmtId="180" fontId="1" fillId="3" borderId="2" xfId="2" applyNumberFormat="1" applyFont="1" applyFill="1" applyBorder="1">
      <alignment vertical="center"/>
    </xf>
    <xf numFmtId="180" fontId="1" fillId="3" borderId="3" xfId="2" applyNumberFormat="1" applyFont="1" applyFill="1" applyBorder="1">
      <alignment vertical="center"/>
    </xf>
    <xf numFmtId="180" fontId="1" fillId="3" borderId="4" xfId="2" applyNumberFormat="1" applyFont="1" applyFill="1" applyBorder="1">
      <alignment vertical="center"/>
    </xf>
    <xf numFmtId="180" fontId="1" fillId="3" borderId="5" xfId="2" applyNumberFormat="1" applyFont="1" applyFill="1" applyBorder="1">
      <alignment vertical="center"/>
    </xf>
    <xf numFmtId="0" fontId="1" fillId="3" borderId="5" xfId="2" applyNumberFormat="1" applyFont="1" applyFill="1" applyBorder="1" applyAlignment="1">
      <alignment vertical="center" wrapText="1"/>
    </xf>
    <xf numFmtId="180" fontId="1" fillId="4" borderId="0" xfId="2" applyNumberFormat="1" applyFont="1" applyFill="1">
      <alignment vertical="center"/>
    </xf>
  </cellXfs>
  <cellStyles count="6">
    <cellStyle name="백분율" xfId="2" builtinId="5"/>
    <cellStyle name="백분율 2" xfId="5"/>
    <cellStyle name="쉼표 [0]" xfId="1" builtinId="6"/>
    <cellStyle name="쉼표 [0] 10" xfId="4"/>
    <cellStyle name="표준" xfId="0" builtinId="0"/>
    <cellStyle name="표준 3 2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B01-16-019/Desktop/01.%20&#49324;&#52636;&#49373;&#49328;&#54016;%20&#51068;&#51068;%20&#49373;&#49328;&#49457;%20&#51088;&#47308;/01.%20&#44396;&#44544;&#46300;&#46972;&#51060;&#48652;%20&#50629;&#45936;&#51060;&#53944;&#50857;%20&#49884;&#53944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01-16-018/AppData/Local/Microsoft/Windows/INetCache/Low/kpi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ES 생산성분석"/>
      <sheetName val="복사 시트"/>
    </sheetNames>
    <sheetDataSet>
      <sheetData sheetId="0">
        <row r="6">
          <cell r="O6">
            <v>0.86739322614255687</v>
          </cell>
        </row>
        <row r="7">
          <cell r="A7" t="str">
            <v>04호기 - 원일 150T</v>
          </cell>
          <cell r="C7" t="e">
            <v>#N/A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I7">
            <v>0</v>
          </cell>
          <cell r="J7">
            <v>0</v>
          </cell>
          <cell r="K7">
            <v>0</v>
          </cell>
          <cell r="L7" t="e">
            <v>#DIV/0!</v>
          </cell>
          <cell r="M7" t="e">
            <v>#DIV/0!</v>
          </cell>
          <cell r="N7" t="e">
            <v>#DIV/0!</v>
          </cell>
          <cell r="O7" t="e">
            <v>#DIV/0!</v>
          </cell>
          <cell r="P7">
            <v>0.87</v>
          </cell>
        </row>
        <row r="8">
          <cell r="A8" t="str">
            <v>06호기 - 원일 150T</v>
          </cell>
          <cell r="C8" t="str">
            <v>GEN4 EXHAUST LH</v>
          </cell>
          <cell r="D8">
            <v>1542</v>
          </cell>
          <cell r="E8">
            <v>0</v>
          </cell>
          <cell r="F8">
            <v>1542</v>
          </cell>
          <cell r="G8">
            <v>9.1059999999999999</v>
          </cell>
          <cell r="I8">
            <v>8.1379999999999999</v>
          </cell>
          <cell r="J8">
            <v>0.96799999999999997</v>
          </cell>
          <cell r="K8">
            <v>8.1379999999999999</v>
          </cell>
          <cell r="L8">
            <v>1</v>
          </cell>
          <cell r="M8">
            <v>1</v>
          </cell>
          <cell r="N8">
            <v>0.89369646386997581</v>
          </cell>
          <cell r="O8">
            <v>0.89369646386997581</v>
          </cell>
          <cell r="P8">
            <v>0.87</v>
          </cell>
          <cell r="Q8" t="str">
            <v>*야간 Coil ass'y 확보 후 가동</v>
          </cell>
        </row>
        <row r="9">
          <cell r="A9" t="str">
            <v>08호기 - 원일 120T</v>
          </cell>
          <cell r="C9" t="e">
            <v>#N/A</v>
          </cell>
          <cell r="D9">
            <v>0</v>
          </cell>
          <cell r="E9">
            <v>0</v>
          </cell>
          <cell r="F9">
            <v>0</v>
          </cell>
          <cell r="G9">
            <v>0</v>
          </cell>
          <cell r="I9">
            <v>0</v>
          </cell>
          <cell r="J9">
            <v>0</v>
          </cell>
          <cell r="K9">
            <v>0</v>
          </cell>
          <cell r="L9" t="e">
            <v>#DIV/0!</v>
          </cell>
          <cell r="M9" t="e">
            <v>#DIV/0!</v>
          </cell>
          <cell r="N9" t="e">
            <v>#DIV/0!</v>
          </cell>
          <cell r="O9" t="e">
            <v>#DIV/0!</v>
          </cell>
          <cell r="P9">
            <v>0.85</v>
          </cell>
        </row>
        <row r="10">
          <cell r="A10" t="str">
            <v>09호기 - 원일 150T</v>
          </cell>
          <cell r="C10" t="str">
            <v>후륜8속 M3 PREMOLD ASS'Y</v>
          </cell>
          <cell r="D10">
            <v>1800</v>
          </cell>
          <cell r="E10">
            <v>0</v>
          </cell>
          <cell r="F10">
            <v>1800</v>
          </cell>
          <cell r="G10">
            <v>8.3119999999999994</v>
          </cell>
          <cell r="I10">
            <v>8.3119999999999994</v>
          </cell>
          <cell r="J10">
            <v>0</v>
          </cell>
          <cell r="K10">
            <v>7.75</v>
          </cell>
          <cell r="L10">
            <v>1</v>
          </cell>
          <cell r="M10">
            <v>0.93238691049085665</v>
          </cell>
          <cell r="N10">
            <v>1</v>
          </cell>
          <cell r="O10">
            <v>0.93238691049085665</v>
          </cell>
          <cell r="P10">
            <v>0.83</v>
          </cell>
        </row>
        <row r="11">
          <cell r="A11" t="str">
            <v>10호기 - 원일 100T</v>
          </cell>
          <cell r="C11" t="str">
            <v>ROTOR OS SLEEVE</v>
          </cell>
          <cell r="D11">
            <v>3560</v>
          </cell>
          <cell r="E11">
            <v>3</v>
          </cell>
          <cell r="F11">
            <v>3563</v>
          </cell>
          <cell r="G11">
            <v>8.3290000000000006</v>
          </cell>
          <cell r="I11">
            <v>8.3290000000000006</v>
          </cell>
          <cell r="J11">
            <v>0</v>
          </cell>
          <cell r="K11">
            <v>5.9379999999999997</v>
          </cell>
          <cell r="L11">
            <v>0.99915801291046868</v>
          </cell>
          <cell r="M11">
            <v>0.71293072397646773</v>
          </cell>
          <cell r="N11">
            <v>1</v>
          </cell>
          <cell r="O11">
            <v>0.71233044551114932</v>
          </cell>
          <cell r="P11">
            <v>0.85</v>
          </cell>
          <cell r="Q11" t="str">
            <v>*야간 가동 중 미성형 다수 발생
→ 하트 온도, 계량 조건 상향 조정. 모니터링</v>
          </cell>
        </row>
        <row r="12">
          <cell r="A12" t="str">
            <v>11호기 - 원일 100T</v>
          </cell>
          <cell r="C12" t="e">
            <v>#N/A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  <cell r="I12">
            <v>0</v>
          </cell>
          <cell r="J12">
            <v>0</v>
          </cell>
          <cell r="K12">
            <v>0</v>
          </cell>
          <cell r="L12" t="e">
            <v>#DIV/0!</v>
          </cell>
          <cell r="M12" t="e">
            <v>#DIV/0!</v>
          </cell>
          <cell r="N12" t="e">
            <v>#DIV/0!</v>
          </cell>
          <cell r="O12" t="e">
            <v>#DIV/0!</v>
          </cell>
          <cell r="P12">
            <v>0.86</v>
          </cell>
        </row>
        <row r="13">
          <cell r="A13" t="str">
            <v>12호기 - 원일 120T</v>
          </cell>
          <cell r="C13" t="str">
            <v>TAS GEN2.0 ROTOR IS</v>
          </cell>
          <cell r="D13">
            <v>3248</v>
          </cell>
          <cell r="E13">
            <v>0</v>
          </cell>
          <cell r="F13">
            <v>3248</v>
          </cell>
          <cell r="G13">
            <v>10.342000000000001</v>
          </cell>
          <cell r="I13">
            <v>10.01</v>
          </cell>
          <cell r="J13">
            <v>0.33200000000000002</v>
          </cell>
          <cell r="K13">
            <v>8.3000000000000007</v>
          </cell>
          <cell r="L13">
            <v>1</v>
          </cell>
          <cell r="M13">
            <v>0.82917082917082929</v>
          </cell>
          <cell r="N13">
            <v>0.9678978920905047</v>
          </cell>
          <cell r="O13">
            <v>0.80255269773738158</v>
          </cell>
          <cell r="P13">
            <v>0.83</v>
          </cell>
        </row>
        <row r="14">
          <cell r="A14" t="str">
            <v>13호기 - MEW 150T</v>
          </cell>
          <cell r="C14" t="str">
            <v>KEV3 DRIVE_P 20.5Ω(9144060693)</v>
          </cell>
          <cell r="D14">
            <v>9180</v>
          </cell>
          <cell r="E14">
            <v>1</v>
          </cell>
          <cell r="F14">
            <v>9181</v>
          </cell>
          <cell r="G14">
            <v>16.673999999999999</v>
          </cell>
          <cell r="I14">
            <v>16.673999999999999</v>
          </cell>
          <cell r="J14">
            <v>0</v>
          </cell>
          <cell r="K14">
            <v>14.792</v>
          </cell>
          <cell r="L14">
            <v>0.99989107940311517</v>
          </cell>
          <cell r="M14">
            <v>0.88712966294830276</v>
          </cell>
          <cell r="N14">
            <v>1</v>
          </cell>
          <cell r="O14">
            <v>0.88703303625590013</v>
          </cell>
          <cell r="P14">
            <v>0.84</v>
          </cell>
        </row>
        <row r="15">
          <cell r="A15" t="str">
            <v>14호기 - MEW 150T</v>
          </cell>
          <cell r="C15" t="str">
            <v>KEV3 DRIVE 14.5Ω(9144060260)</v>
          </cell>
          <cell r="D15">
            <v>12420</v>
          </cell>
          <cell r="E15">
            <v>2</v>
          </cell>
          <cell r="F15">
            <v>12422</v>
          </cell>
          <cell r="G15">
            <v>24.021999999999998</v>
          </cell>
          <cell r="I15">
            <v>23.779</v>
          </cell>
          <cell r="J15">
            <v>0.24299999999999999</v>
          </cell>
          <cell r="K15">
            <v>20.012999999999998</v>
          </cell>
          <cell r="L15">
            <v>0.99983899533086462</v>
          </cell>
          <cell r="M15">
            <v>0.84162496320282598</v>
          </cell>
          <cell r="N15">
            <v>0.98988427274997925</v>
          </cell>
          <cell r="O15">
            <v>0.83297717981669284</v>
          </cell>
          <cell r="P15">
            <v>0.84</v>
          </cell>
        </row>
        <row r="16">
          <cell r="A16" t="str">
            <v>15호기 - MEW 150T</v>
          </cell>
          <cell r="C16" t="e">
            <v>#N/A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I16">
            <v>0</v>
          </cell>
          <cell r="J16">
            <v>0</v>
          </cell>
          <cell r="K16">
            <v>0</v>
          </cell>
          <cell r="L16" t="e">
            <v>#DIV/0!</v>
          </cell>
          <cell r="M16" t="e">
            <v>#DIV/0!</v>
          </cell>
          <cell r="N16" t="e">
            <v>#DIV/0!</v>
          </cell>
          <cell r="O16" t="e">
            <v>#DIV/0!</v>
          </cell>
          <cell r="P16">
            <v>0.84</v>
          </cell>
        </row>
        <row r="17">
          <cell r="A17" t="str">
            <v>16호기 - 원일 120T</v>
          </cell>
          <cell r="C17" t="str">
            <v>LINK OVER MOLD</v>
          </cell>
          <cell r="D17">
            <v>8180</v>
          </cell>
          <cell r="E17">
            <v>0</v>
          </cell>
          <cell r="F17">
            <v>8180</v>
          </cell>
          <cell r="G17">
            <v>24</v>
          </cell>
          <cell r="I17">
            <v>24</v>
          </cell>
          <cell r="J17">
            <v>0</v>
          </cell>
          <cell r="K17">
            <v>20.45</v>
          </cell>
          <cell r="L17">
            <v>1</v>
          </cell>
          <cell r="M17">
            <v>0.8520833333333333</v>
          </cell>
          <cell r="N17">
            <v>1</v>
          </cell>
          <cell r="O17">
            <v>0.8520833333333333</v>
          </cell>
          <cell r="P17">
            <v>0.86</v>
          </cell>
        </row>
        <row r="18">
          <cell r="A18" t="str">
            <v>19호기 - JSW 100T</v>
          </cell>
          <cell r="C18" t="str">
            <v>KEV BOBBIN ASS'Y</v>
          </cell>
          <cell r="D18">
            <v>13000</v>
          </cell>
          <cell r="E18">
            <v>0</v>
          </cell>
          <cell r="F18">
            <v>13000</v>
          </cell>
          <cell r="G18">
            <v>12.002000000000001</v>
          </cell>
          <cell r="I18">
            <v>12.002000000000001</v>
          </cell>
          <cell r="J18">
            <v>0</v>
          </cell>
          <cell r="K18">
            <v>10.111000000000001</v>
          </cell>
          <cell r="L18">
            <v>1</v>
          </cell>
          <cell r="M18">
            <v>0.84244292617897021</v>
          </cell>
          <cell r="N18">
            <v>1</v>
          </cell>
          <cell r="O18">
            <v>0.84244292617897021</v>
          </cell>
          <cell r="P18">
            <v>0.87</v>
          </cell>
        </row>
        <row r="19">
          <cell r="A19" t="str">
            <v>20호기 - MEW 150T</v>
          </cell>
          <cell r="C19" t="str">
            <v>KEV BOBBIN ASSY_PPS(9144060689)</v>
          </cell>
          <cell r="D19">
            <v>9600</v>
          </cell>
          <cell r="E19">
            <v>0</v>
          </cell>
          <cell r="F19">
            <v>9600</v>
          </cell>
          <cell r="G19">
            <v>10.33</v>
          </cell>
          <cell r="I19">
            <v>10.095000000000001</v>
          </cell>
          <cell r="J19">
            <v>0.23499999999999999</v>
          </cell>
          <cell r="K19">
            <v>7.4669999999999996</v>
          </cell>
          <cell r="L19">
            <v>1</v>
          </cell>
          <cell r="M19">
            <v>0.7396731054977711</v>
          </cell>
          <cell r="N19">
            <v>0.97725072604065832</v>
          </cell>
          <cell r="O19">
            <v>0.72284607938044532</v>
          </cell>
          <cell r="P19">
            <v>0.85</v>
          </cell>
          <cell r="Q19" t="str">
            <v>*야간 시업 중 수지 이송 불량으로 시업 지연
→ 물류팀 원인 파악. 수지 배관 노후화로 수지 공급 지연 발생
→ 물류팀 배관 및 수지 공급부 점검</v>
          </cell>
        </row>
        <row r="20">
          <cell r="A20" t="str">
            <v>21호기 - 원일 120T</v>
          </cell>
          <cell r="C20" t="str">
            <v>600H M/CORE COVER H.V</v>
          </cell>
          <cell r="D20">
            <v>15812</v>
          </cell>
          <cell r="E20">
            <v>2</v>
          </cell>
          <cell r="F20">
            <v>15814</v>
          </cell>
          <cell r="G20">
            <v>8</v>
          </cell>
          <cell r="I20">
            <v>7.0460000000000003</v>
          </cell>
          <cell r="J20">
            <v>0.95399999999999996</v>
          </cell>
          <cell r="K20">
            <v>6.0179999999999998</v>
          </cell>
          <cell r="L20">
            <v>0.99987352978373589</v>
          </cell>
          <cell r="M20">
            <v>0.85410161793925621</v>
          </cell>
          <cell r="N20">
            <v>0.88075000000000003</v>
          </cell>
          <cell r="O20">
            <v>0.75215486277981525</v>
          </cell>
          <cell r="P20">
            <v>0.87</v>
          </cell>
          <cell r="Q20" t="str">
            <v>*주간 자재 이송 안착 위치 이상(2회). 설비보전팀 설비 점검</v>
          </cell>
        </row>
        <row r="22">
          <cell r="A22" t="str">
            <v>22호기 - ARBURG 200T</v>
          </cell>
          <cell r="C22" t="e">
            <v>#N/A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I22">
            <v>0</v>
          </cell>
          <cell r="J22">
            <v>0</v>
          </cell>
          <cell r="K22">
            <v>0</v>
          </cell>
          <cell r="L22" t="e">
            <v>#DIV/0!</v>
          </cell>
          <cell r="M22" t="e">
            <v>#DIV/0!</v>
          </cell>
          <cell r="N22" t="e">
            <v>#DIV/0!</v>
          </cell>
          <cell r="O22" t="e">
            <v>#DIV/0!</v>
          </cell>
          <cell r="P22">
            <v>0.9</v>
          </cell>
        </row>
        <row r="23">
          <cell r="A23" t="str">
            <v>23호기 - ARBURG 200T</v>
          </cell>
          <cell r="C23" t="str">
            <v>TAS GEN2.0 COVER</v>
          </cell>
          <cell r="D23">
            <v>5394</v>
          </cell>
          <cell r="E23">
            <v>0</v>
          </cell>
          <cell r="F23">
            <v>5394</v>
          </cell>
          <cell r="G23">
            <v>6.5</v>
          </cell>
          <cell r="I23">
            <v>6.0170000000000003</v>
          </cell>
          <cell r="J23">
            <v>0.48299999999999998</v>
          </cell>
          <cell r="K23">
            <v>5.9930000000000003</v>
          </cell>
          <cell r="L23">
            <v>1</v>
          </cell>
          <cell r="M23">
            <v>0.99601130131294668</v>
          </cell>
          <cell r="N23">
            <v>0.9256923076923077</v>
          </cell>
          <cell r="O23">
            <v>0.92200000000000004</v>
          </cell>
          <cell r="P23">
            <v>0.9</v>
          </cell>
        </row>
        <row r="24">
          <cell r="A24" t="str">
            <v>24호기 - 우진 220T</v>
          </cell>
          <cell r="C24" t="e">
            <v>#N/A</v>
          </cell>
          <cell r="D24">
            <v>0</v>
          </cell>
          <cell r="E24">
            <v>0</v>
          </cell>
          <cell r="F24">
            <v>0</v>
          </cell>
          <cell r="G24">
            <v>0</v>
          </cell>
          <cell r="I24">
            <v>0</v>
          </cell>
          <cell r="J24">
            <v>0</v>
          </cell>
          <cell r="K24">
            <v>0</v>
          </cell>
          <cell r="L24" t="e">
            <v>#DIV/0!</v>
          </cell>
          <cell r="M24" t="e">
            <v>#DIV/0!</v>
          </cell>
          <cell r="N24" t="e">
            <v>#DIV/0!</v>
          </cell>
          <cell r="O24" t="e">
            <v>#DIV/0!</v>
          </cell>
          <cell r="P24">
            <v>0.9</v>
          </cell>
        </row>
        <row r="25">
          <cell r="A25" t="str">
            <v>25호기 - 우진 220T</v>
          </cell>
          <cell r="C25" t="str">
            <v>MEB5 ESC COVER</v>
          </cell>
          <cell r="D25">
            <v>8884</v>
          </cell>
          <cell r="E25">
            <v>26</v>
          </cell>
          <cell r="F25">
            <v>8910</v>
          </cell>
          <cell r="G25">
            <v>20.67</v>
          </cell>
          <cell r="I25">
            <v>20.67</v>
          </cell>
          <cell r="J25">
            <v>0</v>
          </cell>
          <cell r="K25">
            <v>18.068000000000001</v>
          </cell>
          <cell r="L25">
            <v>0.99708193041526372</v>
          </cell>
          <cell r="M25">
            <v>0.87411707789066284</v>
          </cell>
          <cell r="N25">
            <v>1</v>
          </cell>
          <cell r="O25">
            <v>0.87156634343217154</v>
          </cell>
          <cell r="P25">
            <v>0.9</v>
          </cell>
        </row>
        <row r="26">
          <cell r="A26" t="str">
            <v>26호기 - 우진 220T</v>
          </cell>
          <cell r="C26" t="str">
            <v>601D M/CORE COVER (KBE 1033BK)</v>
          </cell>
          <cell r="D26">
            <v>27700</v>
          </cell>
          <cell r="E26">
            <v>0</v>
          </cell>
          <cell r="F26">
            <v>27700</v>
          </cell>
          <cell r="G26">
            <v>23.997999999999998</v>
          </cell>
          <cell r="I26">
            <v>23.756999999999998</v>
          </cell>
          <cell r="J26">
            <v>0.24099999999999999</v>
          </cell>
          <cell r="K26">
            <v>21.544</v>
          </cell>
          <cell r="L26">
            <v>1</v>
          </cell>
          <cell r="M26">
            <v>0.90684850780822501</v>
          </cell>
          <cell r="N26">
            <v>0.98995749645803821</v>
          </cell>
          <cell r="O26">
            <v>0.89774147845653818</v>
          </cell>
          <cell r="P26">
            <v>0.85</v>
          </cell>
        </row>
        <row r="27">
          <cell r="A27" t="str">
            <v>27호기 - 우진 220T</v>
          </cell>
          <cell r="C27" t="e">
            <v>#N/A</v>
          </cell>
          <cell r="D27">
            <v>0</v>
          </cell>
          <cell r="E27">
            <v>0</v>
          </cell>
          <cell r="F27">
            <v>0</v>
          </cell>
          <cell r="G27">
            <v>0</v>
          </cell>
          <cell r="I27">
            <v>0</v>
          </cell>
          <cell r="J27">
            <v>0</v>
          </cell>
          <cell r="K27">
            <v>0</v>
          </cell>
          <cell r="L27" t="e">
            <v>#DIV/0!</v>
          </cell>
          <cell r="M27" t="e">
            <v>#DIV/0!</v>
          </cell>
          <cell r="N27" t="e">
            <v>#DIV/0!</v>
          </cell>
          <cell r="O27" t="e">
            <v>#DIV/0!</v>
          </cell>
          <cell r="P27">
            <v>0.85</v>
          </cell>
        </row>
        <row r="28">
          <cell r="A28" t="str">
            <v>28호기 - 우진 150T</v>
          </cell>
          <cell r="C28" t="str">
            <v>iMEB2 BOBBIN HSV</v>
          </cell>
          <cell r="D28">
            <v>14700</v>
          </cell>
          <cell r="E28">
            <v>0</v>
          </cell>
          <cell r="F28">
            <v>14700</v>
          </cell>
          <cell r="G28">
            <v>18.145</v>
          </cell>
          <cell r="I28">
            <v>12.256</v>
          </cell>
          <cell r="J28">
            <v>5.8890000000000002</v>
          </cell>
          <cell r="K28">
            <v>12.25</v>
          </cell>
          <cell r="L28">
            <v>1</v>
          </cell>
          <cell r="M28">
            <v>0.99951044386422971</v>
          </cell>
          <cell r="N28">
            <v>0.67544778175806008</v>
          </cell>
          <cell r="O28">
            <v>0.67511711215210801</v>
          </cell>
          <cell r="P28">
            <v>0.87</v>
          </cell>
          <cell r="Q28" t="str">
            <v>*주간 Cav.3, 6 인서트 핀 인서트 불량
→ 로보트 푸셔 동작시 스프링 파손으로 인한 탄성 이상 확인
→ 로보트 척 핀 인서트부 스프링 및 LM가이드 마모
→ 스프링 및 LM가이드 교체</v>
          </cell>
        </row>
        <row r="29">
          <cell r="A29" t="str">
            <v>29호기 - 우진 150T</v>
          </cell>
          <cell r="C29" t="e">
            <v>#N/A</v>
          </cell>
          <cell r="D29">
            <v>0</v>
          </cell>
          <cell r="E29">
            <v>0</v>
          </cell>
          <cell r="F29">
            <v>0</v>
          </cell>
          <cell r="G29">
            <v>0</v>
          </cell>
          <cell r="I29">
            <v>0</v>
          </cell>
          <cell r="J29">
            <v>0</v>
          </cell>
          <cell r="K29">
            <v>0</v>
          </cell>
          <cell r="L29" t="e">
            <v>#DIV/0!</v>
          </cell>
          <cell r="M29" t="e">
            <v>#DIV/0!</v>
          </cell>
          <cell r="N29" t="e">
            <v>#DIV/0!</v>
          </cell>
          <cell r="O29" t="e">
            <v>#DIV/0!</v>
          </cell>
          <cell r="P29">
            <v>0.9</v>
          </cell>
        </row>
        <row r="30">
          <cell r="A30" t="str">
            <v>30호기 - 우진 150T</v>
          </cell>
          <cell r="C30" t="str">
            <v>iMEB2 BOBBIN WSV</v>
          </cell>
          <cell r="D30">
            <v>14200</v>
          </cell>
          <cell r="E30">
            <v>0</v>
          </cell>
          <cell r="F30">
            <v>14200</v>
          </cell>
          <cell r="G30">
            <v>12.4</v>
          </cell>
          <cell r="I30">
            <v>12.4</v>
          </cell>
          <cell r="J30">
            <v>0</v>
          </cell>
          <cell r="K30">
            <v>11.833</v>
          </cell>
          <cell r="L30">
            <v>1</v>
          </cell>
          <cell r="M30">
            <v>0.95427419354838705</v>
          </cell>
          <cell r="N30">
            <v>1</v>
          </cell>
          <cell r="O30">
            <v>0.95427419354838705</v>
          </cell>
          <cell r="P30">
            <v>0.87</v>
          </cell>
        </row>
        <row r="31">
          <cell r="A31" t="str">
            <v>32호기 - ARBURG 100T</v>
          </cell>
          <cell r="C31" t="str">
            <v>MEB5 BOBBIN OV</v>
          </cell>
          <cell r="D31">
            <v>26008</v>
          </cell>
          <cell r="E31">
            <v>25</v>
          </cell>
          <cell r="F31">
            <v>26033</v>
          </cell>
          <cell r="G31">
            <v>14.93</v>
          </cell>
          <cell r="I31">
            <v>14.93</v>
          </cell>
          <cell r="J31">
            <v>0</v>
          </cell>
          <cell r="K31">
            <v>13.739000000000001</v>
          </cell>
          <cell r="L31">
            <v>0.99903968040563895</v>
          </cell>
          <cell r="M31">
            <v>0.92022772940388486</v>
          </cell>
          <cell r="N31">
            <v>1</v>
          </cell>
          <cell r="O31">
            <v>0.91934401668406396</v>
          </cell>
          <cell r="P31">
            <v>0.85</v>
          </cell>
        </row>
        <row r="32">
          <cell r="A32" t="str">
            <v>33호기 - ARBURG 100T</v>
          </cell>
          <cell r="C32" t="str">
            <v>MEB5 BOBBIN IV</v>
          </cell>
          <cell r="D32">
            <v>38000</v>
          </cell>
          <cell r="E32">
            <v>43</v>
          </cell>
          <cell r="F32">
            <v>38043</v>
          </cell>
          <cell r="G32">
            <v>23.995999999999999</v>
          </cell>
          <cell r="I32">
            <v>23.995999999999999</v>
          </cell>
          <cell r="J32">
            <v>0</v>
          </cell>
          <cell r="K32">
            <v>20.078000000000003</v>
          </cell>
          <cell r="L32">
            <v>0.99886970007622955</v>
          </cell>
          <cell r="M32">
            <v>0.83672278713118875</v>
          </cell>
          <cell r="N32">
            <v>1</v>
          </cell>
          <cell r="O32">
            <v>0.83577703942867732</v>
          </cell>
          <cell r="P32">
            <v>0.85</v>
          </cell>
        </row>
        <row r="33">
          <cell r="A33" t="str">
            <v>35호기 - ARBURG 100T (자동)</v>
          </cell>
          <cell r="C33" t="str">
            <v>LK EV CMU BASE</v>
          </cell>
          <cell r="D33">
            <v>2279</v>
          </cell>
          <cell r="E33">
            <v>0</v>
          </cell>
          <cell r="F33">
            <v>2279</v>
          </cell>
          <cell r="G33">
            <v>20.851999999999997</v>
          </cell>
          <cell r="I33">
            <v>20.335999999999999</v>
          </cell>
          <cell r="J33">
            <v>0.51600000000000001</v>
          </cell>
          <cell r="K33">
            <v>18.149999999999999</v>
          </cell>
          <cell r="L33">
            <v>1</v>
          </cell>
          <cell r="M33">
            <v>0.89250590086546022</v>
          </cell>
          <cell r="N33">
            <v>0.97525417226165367</v>
          </cell>
          <cell r="O33">
            <v>0.87042010358718591</v>
          </cell>
          <cell r="P33">
            <v>0.9</v>
          </cell>
        </row>
        <row r="34">
          <cell r="A34" t="str">
            <v>36호기 - ZHAFIR 120T</v>
          </cell>
          <cell r="C34" t="str">
            <v>600C 1차 SPOOL (KOPLA)</v>
          </cell>
          <cell r="D34">
            <v>20400</v>
          </cell>
          <cell r="E34">
            <v>0</v>
          </cell>
          <cell r="F34">
            <v>20400</v>
          </cell>
          <cell r="G34">
            <v>23.47</v>
          </cell>
          <cell r="I34">
            <v>23.209</v>
          </cell>
          <cell r="J34">
            <v>0.26100000000000001</v>
          </cell>
          <cell r="K34">
            <v>19.832999999999998</v>
          </cell>
          <cell r="L34">
            <v>1</v>
          </cell>
          <cell r="M34">
            <v>0.85453918738420431</v>
          </cell>
          <cell r="N34">
            <v>0.98887942053685562</v>
          </cell>
          <cell r="O34">
            <v>0.84503621644652749</v>
          </cell>
          <cell r="P34">
            <v>0.87</v>
          </cell>
        </row>
        <row r="35">
          <cell r="A35" t="str">
            <v>37호기 - ARBURG 100T (자동)</v>
          </cell>
          <cell r="C35" t="str">
            <v>MEB5 BOBBIN IV</v>
          </cell>
          <cell r="D35">
            <v>30800</v>
          </cell>
          <cell r="E35">
            <v>0</v>
          </cell>
          <cell r="F35">
            <v>30800</v>
          </cell>
          <cell r="G35">
            <v>17.010000000000002</v>
          </cell>
          <cell r="I35">
            <v>17.010000000000002</v>
          </cell>
          <cell r="J35">
            <v>0</v>
          </cell>
          <cell r="K35">
            <v>16.256</v>
          </cell>
          <cell r="L35">
            <v>1</v>
          </cell>
          <cell r="M35">
            <v>0.95567313345091121</v>
          </cell>
          <cell r="N35">
            <v>1</v>
          </cell>
          <cell r="O35">
            <v>0.95567313345091121</v>
          </cell>
          <cell r="P35">
            <v>0.85</v>
          </cell>
        </row>
        <row r="36">
          <cell r="A36" t="str">
            <v>38호기 - ARBURG 100T (자동)</v>
          </cell>
          <cell r="C36" t="str">
            <v>ETC BRUSH HOLDER</v>
          </cell>
          <cell r="D36">
            <v>10792</v>
          </cell>
          <cell r="E36">
            <v>0</v>
          </cell>
          <cell r="F36">
            <v>10792</v>
          </cell>
          <cell r="G36">
            <v>20.678000000000001</v>
          </cell>
          <cell r="I36">
            <v>19.244</v>
          </cell>
          <cell r="J36">
            <v>1.4340000000000002</v>
          </cell>
          <cell r="K36">
            <v>18.585999999999999</v>
          </cell>
          <cell r="L36">
            <v>1</v>
          </cell>
          <cell r="M36">
            <v>0.96580752442319673</v>
          </cell>
          <cell r="N36">
            <v>0.93065093335912563</v>
          </cell>
          <cell r="O36">
            <v>0.89882967404971459</v>
          </cell>
          <cell r="P36">
            <v>0.9</v>
          </cell>
        </row>
        <row r="37">
          <cell r="A37" t="str">
            <v>39호기 - ZHAFIR 120T</v>
          </cell>
          <cell r="C37" t="e">
            <v>#N/A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I37">
            <v>0</v>
          </cell>
          <cell r="J37">
            <v>0</v>
          </cell>
          <cell r="K37">
            <v>0</v>
          </cell>
          <cell r="L37" t="e">
            <v>#DIV/0!</v>
          </cell>
          <cell r="M37" t="e">
            <v>#DIV/0!</v>
          </cell>
          <cell r="N37" t="e">
            <v>#DIV/0!</v>
          </cell>
          <cell r="O37" t="e">
            <v>#DIV/0!</v>
          </cell>
          <cell r="P37">
            <v>0.9</v>
          </cell>
        </row>
        <row r="39">
          <cell r="A39" t="str">
            <v>40호기 - ARBURG 200T (자동)</v>
          </cell>
          <cell r="C39" t="str">
            <v>KEV3 COVER QC_P (9144060696)</v>
          </cell>
          <cell r="D39">
            <v>10500</v>
          </cell>
          <cell r="E39">
            <v>0</v>
          </cell>
          <cell r="F39">
            <v>10500</v>
          </cell>
          <cell r="G39">
            <v>24</v>
          </cell>
          <cell r="I39">
            <v>24</v>
          </cell>
          <cell r="J39">
            <v>0</v>
          </cell>
          <cell r="K39">
            <v>23.332999999999998</v>
          </cell>
          <cell r="L39">
            <v>1</v>
          </cell>
          <cell r="M39">
            <v>0.97220833333333323</v>
          </cell>
          <cell r="N39">
            <v>1</v>
          </cell>
          <cell r="O39">
            <v>0.97220833333333323</v>
          </cell>
          <cell r="P39">
            <v>0.87</v>
          </cell>
        </row>
        <row r="40">
          <cell r="A40" t="str">
            <v>41호기 - 우진 220T (자동)</v>
          </cell>
          <cell r="C40" t="str">
            <v>KEV2 COVER 10.5 GL3 (9144060669)</v>
          </cell>
          <cell r="D40">
            <v>10228</v>
          </cell>
          <cell r="E40">
            <v>0</v>
          </cell>
          <cell r="F40">
            <v>10228</v>
          </cell>
          <cell r="G40">
            <v>20.126000000000001</v>
          </cell>
          <cell r="I40">
            <v>20.126000000000001</v>
          </cell>
          <cell r="J40">
            <v>0</v>
          </cell>
          <cell r="K40">
            <v>19.504999999999999</v>
          </cell>
          <cell r="L40">
            <v>1</v>
          </cell>
          <cell r="M40">
            <v>0.96914439034085254</v>
          </cell>
          <cell r="N40">
            <v>1</v>
          </cell>
          <cell r="O40">
            <v>0.96914439034085254</v>
          </cell>
          <cell r="P40">
            <v>0.87</v>
          </cell>
        </row>
        <row r="41">
          <cell r="A41" t="str">
            <v>42호기 - 우진 220T (자동)</v>
          </cell>
          <cell r="C41" t="str">
            <v>KEV3 COVER 5.0 (9044060246)</v>
          </cell>
          <cell r="D41">
            <v>9964</v>
          </cell>
          <cell r="E41">
            <v>0</v>
          </cell>
          <cell r="F41">
            <v>9964</v>
          </cell>
          <cell r="G41">
            <v>21.518000000000001</v>
          </cell>
          <cell r="I41">
            <v>21.518000000000001</v>
          </cell>
          <cell r="J41">
            <v>0</v>
          </cell>
          <cell r="K41">
            <v>18.544</v>
          </cell>
          <cell r="L41">
            <v>1</v>
          </cell>
          <cell r="M41">
            <v>0.86179012919416298</v>
          </cell>
          <cell r="N41">
            <v>1</v>
          </cell>
          <cell r="O41">
            <v>0.86179012919416298</v>
          </cell>
          <cell r="P41">
            <v>0.87</v>
          </cell>
        </row>
        <row r="42">
          <cell r="A42" t="str">
            <v>43호기 - ARBURG 200T</v>
          </cell>
          <cell r="C42" t="e">
            <v>#N/A</v>
          </cell>
          <cell r="D42">
            <v>0</v>
          </cell>
          <cell r="E42">
            <v>0</v>
          </cell>
          <cell r="F42">
            <v>0</v>
          </cell>
          <cell r="G42">
            <v>0</v>
          </cell>
          <cell r="I42">
            <v>0</v>
          </cell>
          <cell r="J42">
            <v>0</v>
          </cell>
          <cell r="K42">
            <v>0</v>
          </cell>
          <cell r="L42" t="e">
            <v>#DIV/0!</v>
          </cell>
          <cell r="M42" t="e">
            <v>#DIV/0!</v>
          </cell>
          <cell r="N42" t="e">
            <v>#DIV/0!</v>
          </cell>
          <cell r="O42" t="e">
            <v>#DIV/0!</v>
          </cell>
          <cell r="P42">
            <v>0.87</v>
          </cell>
        </row>
        <row r="43">
          <cell r="A43" t="str">
            <v>44호기 - 우진 220T</v>
          </cell>
          <cell r="C43" t="str">
            <v>IDB COVER ASS'Y</v>
          </cell>
          <cell r="D43">
            <v>1290</v>
          </cell>
          <cell r="E43">
            <v>0</v>
          </cell>
          <cell r="F43">
            <v>1290</v>
          </cell>
          <cell r="G43">
            <v>7.9969999999999999</v>
          </cell>
          <cell r="I43">
            <v>7.9969999999999999</v>
          </cell>
          <cell r="J43">
            <v>0</v>
          </cell>
          <cell r="K43">
            <v>6.056</v>
          </cell>
          <cell r="L43">
            <v>1</v>
          </cell>
          <cell r="M43">
            <v>0.75728398149305987</v>
          </cell>
          <cell r="N43">
            <v>1</v>
          </cell>
          <cell r="O43">
            <v>0.75728398149305987</v>
          </cell>
          <cell r="P43">
            <v>0.87</v>
          </cell>
          <cell r="Q43" t="str">
            <v>*야간 융착기 양품 취출부, 구동부 센서 인식 불량
→ 센서 및 배선 점검, 감도 조정, 간섭물 제거 후 가동
*야간 로보트 흡착 이상으로 인한 제품 낙하 다수 발생(19ea)
→ 에어, 센서 조정, 로보트 흡착 위치 점검</v>
          </cell>
        </row>
        <row r="44">
          <cell r="A44" t="str">
            <v>45호기 - 우진 220T</v>
          </cell>
          <cell r="C44" t="e">
            <v>#N/A</v>
          </cell>
          <cell r="D44">
            <v>0</v>
          </cell>
          <cell r="E44">
            <v>0</v>
          </cell>
          <cell r="F44">
            <v>0</v>
          </cell>
          <cell r="G44">
            <v>0</v>
          </cell>
          <cell r="I44">
            <v>0</v>
          </cell>
          <cell r="J44">
            <v>0</v>
          </cell>
          <cell r="K44">
            <v>0</v>
          </cell>
          <cell r="L44" t="e">
            <v>#DIV/0!</v>
          </cell>
          <cell r="M44" t="e">
            <v>#DIV/0!</v>
          </cell>
          <cell r="N44" t="e">
            <v>#DIV/0!</v>
          </cell>
          <cell r="O44" t="e">
            <v>#DIV/0!</v>
          </cell>
          <cell r="P44">
            <v>0.85</v>
          </cell>
        </row>
        <row r="45">
          <cell r="A45" t="str">
            <v>46호기 - MEW 250T</v>
          </cell>
          <cell r="C45" t="str">
            <v>LRR30 HOUSING(AS161-A81-00)</v>
          </cell>
          <cell r="D45">
            <v>2076</v>
          </cell>
          <cell r="E45">
            <v>14</v>
          </cell>
          <cell r="F45">
            <v>2090</v>
          </cell>
          <cell r="G45">
            <v>8.3990000000000009</v>
          </cell>
          <cell r="I45">
            <v>5.4570000000000007</v>
          </cell>
          <cell r="J45">
            <v>2.9420000000000002</v>
          </cell>
          <cell r="K45">
            <v>5.4569999999999999</v>
          </cell>
          <cell r="L45">
            <v>0.99330143540669857</v>
          </cell>
          <cell r="M45">
            <v>0.99999999999999989</v>
          </cell>
          <cell r="N45">
            <v>0.64972020478628412</v>
          </cell>
          <cell r="O45">
            <v>0.64536801202695004</v>
          </cell>
          <cell r="P45">
            <v>0.84</v>
          </cell>
          <cell r="Q45" t="str">
            <v>*주간 Cav.1 통전 불량
*야간 Cav.2 통전 불량
→ 주, 야간 통전 불량 다수 발생. 취출 및 인서트 위치 조정
→ 발생 횟수 증가로 인한 효율 저하</v>
          </cell>
        </row>
        <row r="46">
          <cell r="A46" t="str">
            <v>47호기 - ARBURG 200T</v>
          </cell>
          <cell r="C46" t="e">
            <v>#N/A</v>
          </cell>
          <cell r="D46">
            <v>0</v>
          </cell>
          <cell r="E46">
            <v>0</v>
          </cell>
          <cell r="F46">
            <v>0</v>
          </cell>
          <cell r="G46">
            <v>0</v>
          </cell>
          <cell r="I46">
            <v>0</v>
          </cell>
          <cell r="J46">
            <v>0</v>
          </cell>
          <cell r="K46">
            <v>0</v>
          </cell>
          <cell r="L46" t="e">
            <v>#DIV/0!</v>
          </cell>
          <cell r="M46" t="e">
            <v>#DIV/0!</v>
          </cell>
          <cell r="N46" t="e">
            <v>#DIV/0!</v>
          </cell>
          <cell r="O46" t="e">
            <v>#DIV/0!</v>
          </cell>
          <cell r="P46">
            <v>0.75</v>
          </cell>
        </row>
        <row r="47">
          <cell r="A47" t="str">
            <v>48호기 - 원일 200T</v>
          </cell>
          <cell r="C47" t="str">
            <v>MEB5 ESCi HOUSING (S)</v>
          </cell>
          <cell r="D47">
            <v>2918</v>
          </cell>
          <cell r="E47">
            <v>3</v>
          </cell>
          <cell r="F47">
            <v>2921</v>
          </cell>
          <cell r="G47">
            <v>17.86</v>
          </cell>
          <cell r="I47">
            <v>17.71</v>
          </cell>
          <cell r="J47">
            <v>0.15</v>
          </cell>
          <cell r="K47">
            <v>17.039000000000001</v>
          </cell>
          <cell r="L47">
            <v>0.99897295446764811</v>
          </cell>
          <cell r="M47">
            <v>0.96211180124223605</v>
          </cell>
          <cell r="N47">
            <v>0.99160134378499443</v>
          </cell>
          <cell r="O47">
            <v>0.95305152134234361</v>
          </cell>
          <cell r="P47">
            <v>0.87</v>
          </cell>
        </row>
        <row r="48">
          <cell r="A48" t="str">
            <v>49호기 - ARBURG 300T</v>
          </cell>
          <cell r="C48" t="str">
            <v>iMEB2 ECU HOUSING (필터융착)</v>
          </cell>
          <cell r="D48">
            <v>3360</v>
          </cell>
          <cell r="E48">
            <v>13</v>
          </cell>
          <cell r="F48">
            <v>3373</v>
          </cell>
          <cell r="G48">
            <v>24.094000000000001</v>
          </cell>
          <cell r="I48">
            <v>24.094000000000001</v>
          </cell>
          <cell r="J48">
            <v>0</v>
          </cell>
          <cell r="K48">
            <v>22.486000000000001</v>
          </cell>
          <cell r="L48">
            <v>0.99614586421583162</v>
          </cell>
          <cell r="M48">
            <v>0.93326139287789489</v>
          </cell>
          <cell r="N48">
            <v>1</v>
          </cell>
          <cell r="O48">
            <v>0.92966447674762143</v>
          </cell>
          <cell r="P48">
            <v>0.84</v>
          </cell>
        </row>
        <row r="49">
          <cell r="A49" t="str">
            <v>50호기 - 원일 200T</v>
          </cell>
          <cell r="C49" t="str">
            <v>MEB5 ESCi HOUSING (S)</v>
          </cell>
          <cell r="D49">
            <v>3337</v>
          </cell>
          <cell r="E49">
            <v>4</v>
          </cell>
          <cell r="F49">
            <v>3341</v>
          </cell>
          <cell r="G49">
            <v>23.956000000000003</v>
          </cell>
          <cell r="I49">
            <v>21.905000000000001</v>
          </cell>
          <cell r="J49">
            <v>2.0510000000000002</v>
          </cell>
          <cell r="K49">
            <v>19.024999999999999</v>
          </cell>
          <cell r="L49">
            <v>0.9988027536665669</v>
          </cell>
          <cell r="M49">
            <v>0.86852316822643216</v>
          </cell>
          <cell r="N49">
            <v>0.91438470529303717</v>
          </cell>
          <cell r="O49">
            <v>0.79321349092112337</v>
          </cell>
          <cell r="P49">
            <v>0.87</v>
          </cell>
          <cell r="Q49" t="str">
            <v>*주간 다관절로보트 완제품 안착부 충돌
→ 다관절로보트 위치 전 구간 재셋팅
*야간 Cav.1 모터핀 찍힘 및 Cav.2 모터핀 금형 내 삽입 이상
→ 다관절로보트 인서트 위치 조정
*야간 금형 에젝터 상승 이상. 에젝터 청소</v>
          </cell>
        </row>
        <row r="50">
          <cell r="A50" t="str">
            <v>51호기 - ARBURG 200T</v>
          </cell>
          <cell r="C50" t="str">
            <v>MEB5 HOUSING ESC (S)</v>
          </cell>
          <cell r="D50">
            <v>1841</v>
          </cell>
          <cell r="E50">
            <v>1</v>
          </cell>
          <cell r="F50">
            <v>1842</v>
          </cell>
          <cell r="G50">
            <v>13.387</v>
          </cell>
          <cell r="I50">
            <v>10.747</v>
          </cell>
          <cell r="J50">
            <v>2.6399999999999997</v>
          </cell>
          <cell r="K50">
            <v>10.744999999999999</v>
          </cell>
          <cell r="L50">
            <v>0.999457111834962</v>
          </cell>
          <cell r="M50">
            <v>0.99981390155392191</v>
          </cell>
          <cell r="N50">
            <v>0.80279375513557927</v>
          </cell>
          <cell r="O50">
            <v>0.80220861034336788</v>
          </cell>
          <cell r="P50">
            <v>0.87</v>
          </cell>
          <cell r="Q50" t="str">
            <v>*야간 금형 형폐 불가
→ 전일(4/1) 야간 가동간 12회 발생 이력
→ 수동모드 전환 후 형개폐 시도 시 압렵 전달 불가 확인
→ 사출기 측면 형체 벨브 센서 점검. 지속 발생
→ 설비보전팀 압력 비례제어벨브 교체. 지속 발생
→ 메인 펌프 이상 추정. 생산팀 설비 정지
→ 47호기 메인 펌프 탈거 후 51호기 이설 임시 적용 (4/3)</v>
          </cell>
        </row>
        <row r="51">
          <cell r="A51" t="str">
            <v>52호기 - ARBURG 160T</v>
          </cell>
          <cell r="C51" t="str">
            <v>IDB HOUSING MOLD</v>
          </cell>
          <cell r="D51">
            <v>2381</v>
          </cell>
          <cell r="E51">
            <v>1</v>
          </cell>
          <cell r="F51">
            <v>2382</v>
          </cell>
          <cell r="G51">
            <v>23.466000000000001</v>
          </cell>
          <cell r="I51">
            <v>23.466000000000001</v>
          </cell>
          <cell r="J51">
            <v>0</v>
          </cell>
          <cell r="K51">
            <v>22.497</v>
          </cell>
          <cell r="L51">
            <v>0.99958018471872379</v>
          </cell>
          <cell r="M51">
            <v>0.95870621324469441</v>
          </cell>
          <cell r="N51">
            <v>1</v>
          </cell>
          <cell r="O51">
            <v>0.95830373372611988</v>
          </cell>
          <cell r="P51">
            <v>0.85</v>
          </cell>
        </row>
        <row r="52">
          <cell r="A52" t="str">
            <v>53호기 - 재피어 450T</v>
          </cell>
          <cell r="C52" t="e">
            <v>#N/A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I52">
            <v>0</v>
          </cell>
          <cell r="J52">
            <v>0</v>
          </cell>
          <cell r="K52">
            <v>0</v>
          </cell>
          <cell r="L52" t="e">
            <v>#DIV/0!</v>
          </cell>
          <cell r="M52" t="e">
            <v>#DIV/0!</v>
          </cell>
          <cell r="N52" t="e">
            <v>#DIV/0!</v>
          </cell>
          <cell r="O52" t="e">
            <v>#DIV/0!</v>
          </cell>
          <cell r="P52">
            <v>0.85</v>
          </cell>
        </row>
      </sheetData>
      <sheetData sheetId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KPI보고서"/>
      <sheetName val="Sheet2"/>
      <sheetName val="실적보고서"/>
      <sheetName val="Sheet4"/>
      <sheetName val="kpi"/>
    </sheetNames>
    <definedNames>
      <definedName name="___fci2"/>
      <definedName name="__fci2"/>
      <definedName name="_fci2"/>
      <definedName name="d"/>
      <definedName name="deka1"/>
      <definedName name="E"/>
      <definedName name="EE"/>
      <definedName name="EGR"/>
      <definedName name="EWQFREW"/>
      <definedName name="FIUOP"/>
      <definedName name="INSETPRESS"/>
      <definedName name="LL"/>
      <definedName name="LUMILEDS1"/>
      <definedName name="MENU"/>
      <definedName name="NN"/>
      <definedName name="O"/>
      <definedName name="OO"/>
      <definedName name="P"/>
      <definedName name="PRINTT"/>
      <definedName name="PRO금"/>
      <definedName name="P금견"/>
      <definedName name="QQQ"/>
      <definedName name="Q측정TER"/>
      <definedName name="RFQREWQ"/>
      <definedName name="sdfa"/>
      <definedName name="SHEET2"/>
      <definedName name="T"/>
      <definedName name="TKDTP"/>
      <definedName name="U"/>
      <definedName name="VV"/>
      <definedName name="WW"/>
      <definedName name="Y"/>
      <definedName name="가동율"/>
      <definedName name="결재"/>
      <definedName name="경비현황"/>
      <definedName name="경비현황.2"/>
      <definedName name="경비현황2"/>
      <definedName name="교육"/>
      <definedName name="교육계획2"/>
      <definedName name="급여인상2"/>
      <definedName name="ㄴㄴ"/>
      <definedName name="ㄴㄴㄴㄴㄴ"/>
      <definedName name="ㄷㅇㄹㄷㅇ"/>
      <definedName name="ㄷㅈㄷ"/>
      <definedName name="다이아"/>
      <definedName name="ㄹㄷㅂ"/>
      <definedName name="ㅁㅁㅁㅁㅁ"/>
      <definedName name="불량대책서"/>
      <definedName name="삭제"/>
      <definedName name="상세견적서2"/>
      <definedName name="생산성"/>
      <definedName name="센싸타"/>
      <definedName name="실적"/>
      <definedName name="ㅇㅀㅀ"/>
      <definedName name="ㅇㅁㅇ"/>
      <definedName name="ㅇㅁㅇㅇ"/>
      <definedName name="ㅇㅇ"/>
      <definedName name="ㅇㅇㅇㅇㅇ"/>
      <definedName name="야"/>
      <definedName name="유종혁"/>
      <definedName name="음삭제"/>
      <definedName name="인건비"/>
      <definedName name="일"/>
      <definedName name="ㅈㄷㄷ"/>
      <definedName name="ㅈㅈㅈ"/>
      <definedName name="ㅋ"/>
      <definedName name="카메라"/>
      <definedName name="표3"/>
      <definedName name="표지BR"/>
      <definedName name="표지BRCK"/>
      <definedName name="품질경영팀"/>
      <definedName name="ㅎ"/>
      <definedName name="효율"/>
      <definedName name="ㅗㅓ"/>
    </definedNames>
    <sheetDataSet>
      <sheetData sheetId="0"/>
      <sheetData sheetId="1"/>
      <sheetData sheetId="2"/>
      <sheetData sheetId="3"/>
      <sheetData sheetId="4" refreshError="1"/>
    </sheetDataSet>
  </externalBook>
</externalLink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47"/>
  <sheetViews>
    <sheetView tabSelected="1" zoomScaleNormal="100" workbookViewId="0">
      <pane xSplit="1" ySplit="1" topLeftCell="B18" activePane="bottomRight" state="frozen"/>
      <selection pane="topRight" activeCell="B1" sqref="B1"/>
      <selection pane="bottomLeft" activeCell="A3" sqref="A3"/>
      <selection pane="bottomRight" activeCell="A10" sqref="A10"/>
    </sheetView>
  </sheetViews>
  <sheetFormatPr defaultRowHeight="20.100000000000001" customHeight="1" x14ac:dyDescent="0.15"/>
  <cols>
    <col min="1" max="1" width="27.625" style="26" customWidth="1"/>
    <col min="2" max="2" width="35.625" style="26" customWidth="1"/>
    <col min="3" max="14" width="10.625" style="26" customWidth="1"/>
    <col min="15" max="15" width="60.625" style="26" customWidth="1"/>
    <col min="16" max="16384" width="9" style="26"/>
  </cols>
  <sheetData>
    <row r="1" spans="1:15" s="13" customFormat="1" ht="30" customHeight="1" x14ac:dyDescent="0.15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6" t="s">
        <v>6</v>
      </c>
      <c r="H1" s="6" t="s">
        <v>7</v>
      </c>
      <c r="I1" s="7" t="s">
        <v>8</v>
      </c>
      <c r="J1" s="8" t="s">
        <v>9</v>
      </c>
      <c r="K1" s="9" t="s">
        <v>10</v>
      </c>
      <c r="L1" s="10" t="s">
        <v>11</v>
      </c>
      <c r="M1" s="11" t="s">
        <v>12</v>
      </c>
      <c r="N1" s="12" t="s">
        <v>13</v>
      </c>
      <c r="O1" s="1"/>
    </row>
    <row r="2" spans="1:15" ht="20.100000000000001" customHeight="1" x14ac:dyDescent="0.15">
      <c r="A2" s="14" t="str">
        <f>'[1]MES 생산성분석'!A7</f>
        <v>04호기 - 원일 150T</v>
      </c>
      <c r="B2" s="14" t="e">
        <f>'[1]MES 생산성분석'!C7</f>
        <v>#N/A</v>
      </c>
      <c r="C2" s="15">
        <f>'[1]MES 생산성분석'!D7</f>
        <v>0</v>
      </c>
      <c r="D2" s="16">
        <f>'[1]MES 생산성분석'!E7</f>
        <v>0</v>
      </c>
      <c r="E2" s="17">
        <f>'[1]MES 생산성분석'!F7</f>
        <v>0</v>
      </c>
      <c r="F2" s="18">
        <f>'[1]MES 생산성분석'!G7</f>
        <v>0</v>
      </c>
      <c r="G2" s="19">
        <f>'[1]MES 생산성분석'!I7</f>
        <v>0</v>
      </c>
      <c r="H2" s="19">
        <f>'[1]MES 생산성분석'!J7</f>
        <v>0</v>
      </c>
      <c r="I2" s="20">
        <f>'[1]MES 생산성분석'!K7</f>
        <v>0</v>
      </c>
      <c r="J2" s="21" t="str">
        <f>IFERROR('[1]MES 생산성분석'!L7,"")</f>
        <v/>
      </c>
      <c r="K2" s="22" t="str">
        <f>IFERROR('[1]MES 생산성분석'!M7,"")</f>
        <v/>
      </c>
      <c r="L2" s="23" t="str">
        <f>IFERROR('[1]MES 생산성분석'!N7,"")</f>
        <v/>
      </c>
      <c r="M2" s="24" t="str">
        <f>IFERROR('[1]MES 생산성분석'!O7,"")</f>
        <v/>
      </c>
      <c r="N2" s="24">
        <f>'[1]MES 생산성분석'!P7</f>
        <v>0.87</v>
      </c>
      <c r="O2" s="25" t="str">
        <f>IF('[1]MES 생산성분석'!Q7="", "", '[1]MES 생산성분석'!Q7)</f>
        <v/>
      </c>
    </row>
    <row r="3" spans="1:15" ht="20.100000000000001" customHeight="1" x14ac:dyDescent="0.15">
      <c r="A3" s="27" t="str">
        <f>'[1]MES 생산성분석'!A8</f>
        <v>06호기 - 원일 150T</v>
      </c>
      <c r="B3" s="27" t="str">
        <f>'[1]MES 생산성분석'!C8</f>
        <v>GEN4 EXHAUST LH</v>
      </c>
      <c r="C3" s="28">
        <f>'[1]MES 생산성분석'!D8</f>
        <v>1542</v>
      </c>
      <c r="D3" s="29">
        <f>'[1]MES 생산성분석'!E8</f>
        <v>0</v>
      </c>
      <c r="E3" s="30">
        <f>'[1]MES 생산성분석'!F8</f>
        <v>1542</v>
      </c>
      <c r="F3" s="31">
        <f>'[1]MES 생산성분석'!G8</f>
        <v>9.1059999999999999</v>
      </c>
      <c r="G3" s="32">
        <f>'[1]MES 생산성분석'!I8</f>
        <v>8.1379999999999999</v>
      </c>
      <c r="H3" s="32">
        <f>'[1]MES 생산성분석'!J8</f>
        <v>0.96799999999999997</v>
      </c>
      <c r="I3" s="33">
        <f>'[1]MES 생산성분석'!K8</f>
        <v>8.1379999999999999</v>
      </c>
      <c r="J3" s="34">
        <f>IFERROR('[1]MES 생산성분석'!L8,"")</f>
        <v>1</v>
      </c>
      <c r="K3" s="35">
        <f>IFERROR('[1]MES 생산성분석'!M8,"")</f>
        <v>1</v>
      </c>
      <c r="L3" s="36">
        <f>IFERROR('[1]MES 생산성분석'!N8,"")</f>
        <v>0.89369646386997581</v>
      </c>
      <c r="M3" s="37">
        <f>IFERROR('[1]MES 생산성분석'!O8,"")</f>
        <v>0.89369646386997581</v>
      </c>
      <c r="N3" s="37">
        <f>'[1]MES 생산성분석'!P8</f>
        <v>0.87</v>
      </c>
      <c r="O3" s="25" t="str">
        <f>IF('[1]MES 생산성분석'!Q8="", "", '[1]MES 생산성분석'!Q8)</f>
        <v>*야간 Coil ass'y 확보 후 가동</v>
      </c>
    </row>
    <row r="4" spans="1:15" ht="20.100000000000001" customHeight="1" x14ac:dyDescent="0.15">
      <c r="A4" s="27" t="str">
        <f>'[1]MES 생산성분석'!A9</f>
        <v>08호기 - 원일 120T</v>
      </c>
      <c r="B4" s="27" t="e">
        <f>'[1]MES 생산성분석'!C9</f>
        <v>#N/A</v>
      </c>
      <c r="C4" s="28">
        <f>'[1]MES 생산성분석'!D9</f>
        <v>0</v>
      </c>
      <c r="D4" s="29">
        <f>'[1]MES 생산성분석'!E9</f>
        <v>0</v>
      </c>
      <c r="E4" s="30">
        <f>'[1]MES 생산성분석'!F9</f>
        <v>0</v>
      </c>
      <c r="F4" s="31">
        <f>'[1]MES 생산성분석'!G9</f>
        <v>0</v>
      </c>
      <c r="G4" s="32">
        <f>'[1]MES 생산성분석'!I9</f>
        <v>0</v>
      </c>
      <c r="H4" s="32">
        <f>'[1]MES 생산성분석'!J9</f>
        <v>0</v>
      </c>
      <c r="I4" s="33">
        <f>'[1]MES 생산성분석'!K9</f>
        <v>0</v>
      </c>
      <c r="J4" s="34" t="str">
        <f>IFERROR('[1]MES 생산성분석'!L9,"")</f>
        <v/>
      </c>
      <c r="K4" s="35" t="str">
        <f>IFERROR('[1]MES 생산성분석'!M9,"")</f>
        <v/>
      </c>
      <c r="L4" s="36" t="str">
        <f>IFERROR('[1]MES 생산성분석'!N9,"")</f>
        <v/>
      </c>
      <c r="M4" s="37" t="str">
        <f>IFERROR('[1]MES 생산성분석'!O9,"")</f>
        <v/>
      </c>
      <c r="N4" s="37">
        <f>'[1]MES 생산성분석'!P9</f>
        <v>0.85</v>
      </c>
      <c r="O4" s="25" t="str">
        <f>IF('[1]MES 생산성분석'!Q9="", "", '[1]MES 생산성분석'!Q9)</f>
        <v/>
      </c>
    </row>
    <row r="5" spans="1:15" ht="20.100000000000001" customHeight="1" x14ac:dyDescent="0.15">
      <c r="A5" s="27" t="str">
        <f>'[1]MES 생산성분석'!A10</f>
        <v>09호기 - 원일 150T</v>
      </c>
      <c r="B5" s="27" t="str">
        <f>'[1]MES 생산성분석'!C10</f>
        <v>후륜8속 M3 PREMOLD ASS'Y</v>
      </c>
      <c r="C5" s="28">
        <f>'[1]MES 생산성분석'!D10</f>
        <v>1800</v>
      </c>
      <c r="D5" s="29">
        <f>'[1]MES 생산성분석'!E10</f>
        <v>0</v>
      </c>
      <c r="E5" s="30">
        <f>'[1]MES 생산성분석'!F10</f>
        <v>1800</v>
      </c>
      <c r="F5" s="31">
        <f>'[1]MES 생산성분석'!G10</f>
        <v>8.3119999999999994</v>
      </c>
      <c r="G5" s="32">
        <f>'[1]MES 생산성분석'!I10</f>
        <v>8.3119999999999994</v>
      </c>
      <c r="H5" s="32">
        <f>'[1]MES 생산성분석'!J10</f>
        <v>0</v>
      </c>
      <c r="I5" s="33">
        <f>'[1]MES 생산성분석'!K10</f>
        <v>7.75</v>
      </c>
      <c r="J5" s="34">
        <f>IFERROR('[1]MES 생산성분석'!L10,"")</f>
        <v>1</v>
      </c>
      <c r="K5" s="35">
        <f>IFERROR('[1]MES 생산성분석'!M10,"")</f>
        <v>0.93238691049085665</v>
      </c>
      <c r="L5" s="36">
        <f>IFERROR('[1]MES 생산성분석'!N10,"")</f>
        <v>1</v>
      </c>
      <c r="M5" s="37">
        <f>IFERROR('[1]MES 생산성분석'!O10,"")</f>
        <v>0.93238691049085665</v>
      </c>
      <c r="N5" s="37">
        <f>'[1]MES 생산성분석'!P10</f>
        <v>0.83</v>
      </c>
      <c r="O5" s="25" t="str">
        <f>IF('[1]MES 생산성분석'!Q10="", "", '[1]MES 생산성분석'!Q10)</f>
        <v/>
      </c>
    </row>
    <row r="6" spans="1:15" ht="20.100000000000001" customHeight="1" x14ac:dyDescent="0.15">
      <c r="A6" s="27" t="str">
        <f>'[1]MES 생산성분석'!A11</f>
        <v>10호기 - 원일 100T</v>
      </c>
      <c r="B6" s="27" t="str">
        <f>'[1]MES 생산성분석'!C11</f>
        <v>ROTOR OS SLEEVE</v>
      </c>
      <c r="C6" s="28">
        <f>'[1]MES 생산성분석'!D11</f>
        <v>3560</v>
      </c>
      <c r="D6" s="29">
        <f>'[1]MES 생산성분석'!E11</f>
        <v>3</v>
      </c>
      <c r="E6" s="30">
        <f>'[1]MES 생산성분석'!F11</f>
        <v>3563</v>
      </c>
      <c r="F6" s="31">
        <f>'[1]MES 생산성분석'!G11</f>
        <v>8.3290000000000006</v>
      </c>
      <c r="G6" s="32">
        <f>'[1]MES 생산성분석'!I11</f>
        <v>8.3290000000000006</v>
      </c>
      <c r="H6" s="32">
        <f>'[1]MES 생산성분석'!J11</f>
        <v>0</v>
      </c>
      <c r="I6" s="33">
        <f>'[1]MES 생산성분석'!K11</f>
        <v>5.9379999999999997</v>
      </c>
      <c r="J6" s="34">
        <f>IFERROR('[1]MES 생산성분석'!L11,"")</f>
        <v>0.99915801291046868</v>
      </c>
      <c r="K6" s="35">
        <f>IFERROR('[1]MES 생산성분석'!M11,"")</f>
        <v>0.71293072397646773</v>
      </c>
      <c r="L6" s="36">
        <f>IFERROR('[1]MES 생산성분석'!N11,"")</f>
        <v>1</v>
      </c>
      <c r="M6" s="37">
        <f>IFERROR('[1]MES 생산성분석'!O11,"")</f>
        <v>0.71233044551114932</v>
      </c>
      <c r="N6" s="37">
        <f>'[1]MES 생산성분석'!P11</f>
        <v>0.85</v>
      </c>
      <c r="O6" s="25" t="str">
        <f>IF('[1]MES 생산성분석'!Q11="", "", '[1]MES 생산성분석'!Q11)</f>
        <v>*야간 가동 중 미성형 다수 발생
→ 하트 온도, 계량 조건 상향 조정. 모니터링</v>
      </c>
    </row>
    <row r="7" spans="1:15" ht="20.100000000000001" customHeight="1" x14ac:dyDescent="0.15">
      <c r="A7" s="27" t="str">
        <f>'[1]MES 생산성분석'!A12</f>
        <v>11호기 - 원일 100T</v>
      </c>
      <c r="B7" s="27" t="e">
        <f>'[1]MES 생산성분석'!C12</f>
        <v>#N/A</v>
      </c>
      <c r="C7" s="28">
        <f>'[1]MES 생산성분석'!D12</f>
        <v>0</v>
      </c>
      <c r="D7" s="29">
        <f>'[1]MES 생산성분석'!E12</f>
        <v>0</v>
      </c>
      <c r="E7" s="30">
        <f>'[1]MES 생산성분석'!F12</f>
        <v>0</v>
      </c>
      <c r="F7" s="31">
        <f>'[1]MES 생산성분석'!G12</f>
        <v>0</v>
      </c>
      <c r="G7" s="32">
        <f>'[1]MES 생산성분석'!I12</f>
        <v>0</v>
      </c>
      <c r="H7" s="32">
        <f>'[1]MES 생산성분석'!J12</f>
        <v>0</v>
      </c>
      <c r="I7" s="33">
        <f>'[1]MES 생산성분석'!K12</f>
        <v>0</v>
      </c>
      <c r="J7" s="34" t="str">
        <f>IFERROR('[1]MES 생산성분석'!L12,"")</f>
        <v/>
      </c>
      <c r="K7" s="35" t="str">
        <f>IFERROR('[1]MES 생산성분석'!M12,"")</f>
        <v/>
      </c>
      <c r="L7" s="36" t="str">
        <f>IFERROR('[1]MES 생산성분석'!N12,"")</f>
        <v/>
      </c>
      <c r="M7" s="37" t="str">
        <f>IFERROR('[1]MES 생산성분석'!O12,"")</f>
        <v/>
      </c>
      <c r="N7" s="37">
        <f>'[1]MES 생산성분석'!P12</f>
        <v>0.86</v>
      </c>
      <c r="O7" s="25" t="str">
        <f>IF('[1]MES 생산성분석'!Q12="", "", '[1]MES 생산성분석'!Q12)</f>
        <v/>
      </c>
    </row>
    <row r="8" spans="1:15" ht="20.100000000000001" customHeight="1" x14ac:dyDescent="0.15">
      <c r="A8" s="27" t="str">
        <f>'[1]MES 생산성분석'!A13</f>
        <v>12호기 - 원일 120T</v>
      </c>
      <c r="B8" s="27" t="str">
        <f>'[1]MES 생산성분석'!C13</f>
        <v>TAS GEN2.0 ROTOR IS</v>
      </c>
      <c r="C8" s="28">
        <f>'[1]MES 생산성분석'!D13</f>
        <v>3248</v>
      </c>
      <c r="D8" s="29">
        <f>'[1]MES 생산성분석'!E13</f>
        <v>0</v>
      </c>
      <c r="E8" s="30">
        <f>'[1]MES 생산성분석'!F13</f>
        <v>3248</v>
      </c>
      <c r="F8" s="31">
        <f>'[1]MES 생산성분석'!G13</f>
        <v>10.342000000000001</v>
      </c>
      <c r="G8" s="32">
        <f>'[1]MES 생산성분석'!I13</f>
        <v>10.01</v>
      </c>
      <c r="H8" s="32">
        <f>'[1]MES 생산성분석'!J13</f>
        <v>0.33200000000000002</v>
      </c>
      <c r="I8" s="33">
        <f>'[1]MES 생산성분석'!K13</f>
        <v>8.3000000000000007</v>
      </c>
      <c r="J8" s="34">
        <f>IFERROR('[1]MES 생산성분석'!L13,"")</f>
        <v>1</v>
      </c>
      <c r="K8" s="35">
        <f>IFERROR('[1]MES 생산성분석'!M13,"")</f>
        <v>0.82917082917082929</v>
      </c>
      <c r="L8" s="36">
        <f>IFERROR('[1]MES 생산성분석'!N13,"")</f>
        <v>0.9678978920905047</v>
      </c>
      <c r="M8" s="37">
        <f>IFERROR('[1]MES 생산성분석'!O13,"")</f>
        <v>0.80255269773738158</v>
      </c>
      <c r="N8" s="37">
        <f>'[1]MES 생산성분석'!P13</f>
        <v>0.83</v>
      </c>
      <c r="O8" s="25" t="str">
        <f>IF('[1]MES 생산성분석'!Q13="", "", '[1]MES 생산성분석'!Q13)</f>
        <v/>
      </c>
    </row>
    <row r="9" spans="1:15" ht="20.100000000000001" customHeight="1" x14ac:dyDescent="0.15">
      <c r="A9" s="27" t="str">
        <f>'[1]MES 생산성분석'!A14</f>
        <v>13호기 - MEW 150T</v>
      </c>
      <c r="B9" s="27" t="str">
        <f>'[1]MES 생산성분석'!C14</f>
        <v>KEV3 DRIVE_P 20.5Ω(9144060693)</v>
      </c>
      <c r="C9" s="28">
        <f>'[1]MES 생산성분석'!D14</f>
        <v>9180</v>
      </c>
      <c r="D9" s="29">
        <f>'[1]MES 생산성분석'!E14</f>
        <v>1</v>
      </c>
      <c r="E9" s="30">
        <f>'[1]MES 생산성분석'!F14</f>
        <v>9181</v>
      </c>
      <c r="F9" s="31">
        <f>'[1]MES 생산성분석'!G14</f>
        <v>16.673999999999999</v>
      </c>
      <c r="G9" s="32">
        <f>'[1]MES 생산성분석'!I14</f>
        <v>16.673999999999999</v>
      </c>
      <c r="H9" s="32">
        <f>'[1]MES 생산성분석'!J14</f>
        <v>0</v>
      </c>
      <c r="I9" s="33">
        <f>'[1]MES 생산성분석'!K14</f>
        <v>14.792</v>
      </c>
      <c r="J9" s="34">
        <f>IFERROR('[1]MES 생산성분석'!L14,"")</f>
        <v>0.99989107940311517</v>
      </c>
      <c r="K9" s="35">
        <f>IFERROR('[1]MES 생산성분석'!M14,"")</f>
        <v>0.88712966294830276</v>
      </c>
      <c r="L9" s="36">
        <f>IFERROR('[1]MES 생산성분석'!N14,"")</f>
        <v>1</v>
      </c>
      <c r="M9" s="37">
        <f>IFERROR('[1]MES 생산성분석'!O14,"")</f>
        <v>0.88703303625590013</v>
      </c>
      <c r="N9" s="37">
        <f>'[1]MES 생산성분석'!P14</f>
        <v>0.84</v>
      </c>
      <c r="O9" s="25" t="str">
        <f>IF('[1]MES 생산성분석'!Q14="", "", '[1]MES 생산성분석'!Q14)</f>
        <v/>
      </c>
    </row>
    <row r="10" spans="1:15" ht="20.100000000000001" customHeight="1" x14ac:dyDescent="0.15">
      <c r="A10" s="27" t="str">
        <f>'[1]MES 생산성분석'!A15</f>
        <v>14호기 - MEW 150T</v>
      </c>
      <c r="B10" s="27" t="str">
        <f>'[1]MES 생산성분석'!C15</f>
        <v>KEV3 DRIVE 14.5Ω(9144060260)</v>
      </c>
      <c r="C10" s="28">
        <f>'[1]MES 생산성분석'!D15</f>
        <v>12420</v>
      </c>
      <c r="D10" s="29">
        <f>'[1]MES 생산성분석'!E15</f>
        <v>2</v>
      </c>
      <c r="E10" s="30">
        <f>'[1]MES 생산성분석'!F15</f>
        <v>12422</v>
      </c>
      <c r="F10" s="31">
        <f>'[1]MES 생산성분석'!G15</f>
        <v>24.021999999999998</v>
      </c>
      <c r="G10" s="32">
        <f>'[1]MES 생산성분석'!I15</f>
        <v>23.779</v>
      </c>
      <c r="H10" s="32">
        <f>'[1]MES 생산성분석'!J15</f>
        <v>0.24299999999999999</v>
      </c>
      <c r="I10" s="33">
        <f>'[1]MES 생산성분석'!K15</f>
        <v>20.012999999999998</v>
      </c>
      <c r="J10" s="34">
        <f>IFERROR('[1]MES 생산성분석'!L15,"")</f>
        <v>0.99983899533086462</v>
      </c>
      <c r="K10" s="35">
        <f>IFERROR('[1]MES 생산성분석'!M15,"")</f>
        <v>0.84162496320282598</v>
      </c>
      <c r="L10" s="36">
        <f>IFERROR('[1]MES 생산성분석'!N15,"")</f>
        <v>0.98988427274997925</v>
      </c>
      <c r="M10" s="37">
        <f>IFERROR('[1]MES 생산성분석'!O15,"")</f>
        <v>0.83297717981669284</v>
      </c>
      <c r="N10" s="37">
        <f>'[1]MES 생산성분석'!P15</f>
        <v>0.84</v>
      </c>
      <c r="O10" s="25" t="str">
        <f>IF('[1]MES 생산성분석'!Q15="", "", '[1]MES 생산성분석'!Q15)</f>
        <v/>
      </c>
    </row>
    <row r="11" spans="1:15" ht="20.100000000000001" customHeight="1" x14ac:dyDescent="0.15">
      <c r="A11" s="27" t="str">
        <f>'[1]MES 생산성분석'!A16</f>
        <v>15호기 - MEW 150T</v>
      </c>
      <c r="B11" s="27" t="e">
        <f>'[1]MES 생산성분석'!C16</f>
        <v>#N/A</v>
      </c>
      <c r="C11" s="28">
        <f>'[1]MES 생산성분석'!D16</f>
        <v>0</v>
      </c>
      <c r="D11" s="29">
        <f>'[1]MES 생산성분석'!E16</f>
        <v>0</v>
      </c>
      <c r="E11" s="30">
        <f>'[1]MES 생산성분석'!F16</f>
        <v>0</v>
      </c>
      <c r="F11" s="31">
        <f>'[1]MES 생산성분석'!G16</f>
        <v>0</v>
      </c>
      <c r="G11" s="32">
        <f>'[1]MES 생산성분석'!I16</f>
        <v>0</v>
      </c>
      <c r="H11" s="32">
        <f>'[1]MES 생산성분석'!J16</f>
        <v>0</v>
      </c>
      <c r="I11" s="33">
        <f>'[1]MES 생산성분석'!K16</f>
        <v>0</v>
      </c>
      <c r="J11" s="34" t="str">
        <f>IFERROR('[1]MES 생산성분석'!L16,"")</f>
        <v/>
      </c>
      <c r="K11" s="35" t="str">
        <f>IFERROR('[1]MES 생산성분석'!M16,"")</f>
        <v/>
      </c>
      <c r="L11" s="36" t="str">
        <f>IFERROR('[1]MES 생산성분석'!N16,"")</f>
        <v/>
      </c>
      <c r="M11" s="37" t="str">
        <f>IFERROR('[1]MES 생산성분석'!O16,"")</f>
        <v/>
      </c>
      <c r="N11" s="37">
        <f>'[1]MES 생산성분석'!P16</f>
        <v>0.84</v>
      </c>
      <c r="O11" s="25" t="str">
        <f>IF('[1]MES 생산성분석'!Q16="", "", '[1]MES 생산성분석'!Q16)</f>
        <v/>
      </c>
    </row>
    <row r="12" spans="1:15" ht="20.100000000000001" customHeight="1" x14ac:dyDescent="0.15">
      <c r="A12" s="27" t="str">
        <f>'[1]MES 생산성분석'!A17</f>
        <v>16호기 - 원일 120T</v>
      </c>
      <c r="B12" s="27" t="str">
        <f>'[1]MES 생산성분석'!C17</f>
        <v>LINK OVER MOLD</v>
      </c>
      <c r="C12" s="28">
        <f>'[1]MES 생산성분석'!D17</f>
        <v>8180</v>
      </c>
      <c r="D12" s="29">
        <f>'[1]MES 생산성분석'!E17</f>
        <v>0</v>
      </c>
      <c r="E12" s="30">
        <f>'[1]MES 생산성분석'!F17</f>
        <v>8180</v>
      </c>
      <c r="F12" s="31">
        <f>'[1]MES 생산성분석'!G17</f>
        <v>24</v>
      </c>
      <c r="G12" s="32">
        <f>'[1]MES 생산성분석'!I17</f>
        <v>24</v>
      </c>
      <c r="H12" s="32">
        <f>'[1]MES 생산성분석'!J17</f>
        <v>0</v>
      </c>
      <c r="I12" s="33">
        <f>'[1]MES 생산성분석'!K17</f>
        <v>20.45</v>
      </c>
      <c r="J12" s="34">
        <f>IFERROR('[1]MES 생산성분석'!L17,"")</f>
        <v>1</v>
      </c>
      <c r="K12" s="35">
        <f>IFERROR('[1]MES 생산성분석'!M17,"")</f>
        <v>0.8520833333333333</v>
      </c>
      <c r="L12" s="36">
        <f>IFERROR('[1]MES 생산성분석'!N17,"")</f>
        <v>1</v>
      </c>
      <c r="M12" s="37">
        <f>IFERROR('[1]MES 생산성분석'!O17,"")</f>
        <v>0.8520833333333333</v>
      </c>
      <c r="N12" s="37">
        <f>'[1]MES 생산성분석'!P17</f>
        <v>0.86</v>
      </c>
      <c r="O12" s="25" t="str">
        <f>IF('[1]MES 생산성분석'!Q17="", "", '[1]MES 생산성분석'!Q17)</f>
        <v/>
      </c>
    </row>
    <row r="13" spans="1:15" ht="20.100000000000001" customHeight="1" x14ac:dyDescent="0.15">
      <c r="A13" s="27" t="str">
        <f>'[1]MES 생산성분석'!A18</f>
        <v>19호기 - JSW 100T</v>
      </c>
      <c r="B13" s="27" t="str">
        <f>'[1]MES 생산성분석'!C18</f>
        <v>KEV BOBBIN ASS'Y</v>
      </c>
      <c r="C13" s="28">
        <f>'[1]MES 생산성분석'!D18</f>
        <v>13000</v>
      </c>
      <c r="D13" s="29">
        <f>'[1]MES 생산성분석'!E18</f>
        <v>0</v>
      </c>
      <c r="E13" s="30">
        <f>'[1]MES 생산성분석'!F18</f>
        <v>13000</v>
      </c>
      <c r="F13" s="31">
        <f>'[1]MES 생산성분석'!G18</f>
        <v>12.002000000000001</v>
      </c>
      <c r="G13" s="32">
        <f>'[1]MES 생산성분석'!I18</f>
        <v>12.002000000000001</v>
      </c>
      <c r="H13" s="32">
        <f>'[1]MES 생산성분석'!J18</f>
        <v>0</v>
      </c>
      <c r="I13" s="33">
        <f>'[1]MES 생산성분석'!K18</f>
        <v>10.111000000000001</v>
      </c>
      <c r="J13" s="34">
        <f>IFERROR('[1]MES 생산성분석'!L18,"")</f>
        <v>1</v>
      </c>
      <c r="K13" s="35">
        <f>IFERROR('[1]MES 생산성분석'!M18,"")</f>
        <v>0.84244292617897021</v>
      </c>
      <c r="L13" s="36">
        <f>IFERROR('[1]MES 생산성분석'!N18,"")</f>
        <v>1</v>
      </c>
      <c r="M13" s="37">
        <f>IFERROR('[1]MES 생산성분석'!O18,"")</f>
        <v>0.84244292617897021</v>
      </c>
      <c r="N13" s="37">
        <f>'[1]MES 생산성분석'!P18</f>
        <v>0.87</v>
      </c>
      <c r="O13" s="25" t="str">
        <f>IF('[1]MES 생산성분석'!Q18="", "", '[1]MES 생산성분석'!Q18)</f>
        <v/>
      </c>
    </row>
    <row r="14" spans="1:15" ht="20.100000000000001" customHeight="1" x14ac:dyDescent="0.15">
      <c r="A14" s="27" t="str">
        <f>'[1]MES 생산성분석'!A19</f>
        <v>20호기 - MEW 150T</v>
      </c>
      <c r="B14" s="27" t="str">
        <f>'[1]MES 생산성분석'!C19</f>
        <v>KEV BOBBIN ASSY_PPS(9144060689)</v>
      </c>
      <c r="C14" s="28">
        <f>'[1]MES 생산성분석'!D19</f>
        <v>9600</v>
      </c>
      <c r="D14" s="29">
        <f>'[1]MES 생산성분석'!E19</f>
        <v>0</v>
      </c>
      <c r="E14" s="30">
        <f>'[1]MES 생산성분석'!F19</f>
        <v>9600</v>
      </c>
      <c r="F14" s="31">
        <f>'[1]MES 생산성분석'!G19</f>
        <v>10.33</v>
      </c>
      <c r="G14" s="32">
        <f>'[1]MES 생산성분석'!I19</f>
        <v>10.095000000000001</v>
      </c>
      <c r="H14" s="32">
        <f>'[1]MES 생산성분석'!J19</f>
        <v>0.23499999999999999</v>
      </c>
      <c r="I14" s="33">
        <f>'[1]MES 생산성분석'!K19</f>
        <v>7.4669999999999996</v>
      </c>
      <c r="J14" s="34">
        <f>IFERROR('[1]MES 생산성분석'!L19,"")</f>
        <v>1</v>
      </c>
      <c r="K14" s="35">
        <f>IFERROR('[1]MES 생산성분석'!M19,"")</f>
        <v>0.7396731054977711</v>
      </c>
      <c r="L14" s="36">
        <f>IFERROR('[1]MES 생산성분석'!N19,"")</f>
        <v>0.97725072604065832</v>
      </c>
      <c r="M14" s="37">
        <f>IFERROR('[1]MES 생산성분석'!O19,"")</f>
        <v>0.72284607938044532</v>
      </c>
      <c r="N14" s="37">
        <f>'[1]MES 생산성분석'!P19</f>
        <v>0.85</v>
      </c>
      <c r="O14" s="25" t="str">
        <f>IF('[1]MES 생산성분석'!Q19="", "", '[1]MES 생산성분석'!Q19)</f>
        <v>*야간 시업 중 수지 이송 불량으로 시업 지연
→ 물류팀 원인 파악. 수지 배관 노후화로 수지 공급 지연 발생
→ 물류팀 배관 및 수지 공급부 점검</v>
      </c>
    </row>
    <row r="15" spans="1:15" ht="20.100000000000001" customHeight="1" x14ac:dyDescent="0.15">
      <c r="A15" s="27" t="str">
        <f>'[1]MES 생산성분석'!A20</f>
        <v>21호기 - 원일 120T</v>
      </c>
      <c r="B15" s="27" t="str">
        <f>'[1]MES 생산성분석'!C20</f>
        <v>600H M/CORE COVER H.V</v>
      </c>
      <c r="C15" s="28">
        <f>'[1]MES 생산성분석'!D20</f>
        <v>15812</v>
      </c>
      <c r="D15" s="29">
        <f>'[1]MES 생산성분석'!E20</f>
        <v>2</v>
      </c>
      <c r="E15" s="30">
        <f>'[1]MES 생산성분석'!F20</f>
        <v>15814</v>
      </c>
      <c r="F15" s="31">
        <f>'[1]MES 생산성분석'!G20</f>
        <v>8</v>
      </c>
      <c r="G15" s="32">
        <f>'[1]MES 생산성분석'!I20</f>
        <v>7.0460000000000003</v>
      </c>
      <c r="H15" s="32">
        <f>'[1]MES 생산성분석'!J20</f>
        <v>0.95399999999999996</v>
      </c>
      <c r="I15" s="33">
        <f>'[1]MES 생산성분석'!K20</f>
        <v>6.0179999999999998</v>
      </c>
      <c r="J15" s="34">
        <f>IFERROR('[1]MES 생산성분석'!L20,"")</f>
        <v>0.99987352978373589</v>
      </c>
      <c r="K15" s="35">
        <f>IFERROR('[1]MES 생산성분석'!M20,"")</f>
        <v>0.85410161793925621</v>
      </c>
      <c r="L15" s="36">
        <f>IFERROR('[1]MES 생산성분석'!N20,"")</f>
        <v>0.88075000000000003</v>
      </c>
      <c r="M15" s="37">
        <f>IFERROR('[1]MES 생산성분석'!O20,"")</f>
        <v>0.75215486277981525</v>
      </c>
      <c r="N15" s="37">
        <f>'[1]MES 생산성분석'!P20</f>
        <v>0.87</v>
      </c>
      <c r="O15" s="25" t="str">
        <f>IF('[1]MES 생산성분석'!Q20="", "", '[1]MES 생산성분석'!Q20)</f>
        <v>*주간 자재 이송 안착 위치 이상(2회). 설비보전팀 설비 점검</v>
      </c>
    </row>
    <row r="16" spans="1:15" ht="20.100000000000001" customHeight="1" x14ac:dyDescent="0.15">
      <c r="A16" s="27" t="str">
        <f>'[1]MES 생산성분석'!A22</f>
        <v>22호기 - ARBURG 200T</v>
      </c>
      <c r="B16" s="27" t="e">
        <f>'[1]MES 생산성분석'!C22</f>
        <v>#N/A</v>
      </c>
      <c r="C16" s="28">
        <f>'[1]MES 생산성분석'!D22</f>
        <v>0</v>
      </c>
      <c r="D16" s="29">
        <f>'[1]MES 생산성분석'!E22</f>
        <v>0</v>
      </c>
      <c r="E16" s="30">
        <f>'[1]MES 생산성분석'!F22</f>
        <v>0</v>
      </c>
      <c r="F16" s="31">
        <f>'[1]MES 생산성분석'!G22</f>
        <v>0</v>
      </c>
      <c r="G16" s="32">
        <f>'[1]MES 생산성분석'!I22</f>
        <v>0</v>
      </c>
      <c r="H16" s="32">
        <f>'[1]MES 생산성분석'!J22</f>
        <v>0</v>
      </c>
      <c r="I16" s="33">
        <f>'[1]MES 생산성분석'!K22</f>
        <v>0</v>
      </c>
      <c r="J16" s="34" t="str">
        <f>IFERROR('[1]MES 생산성분석'!L22,"")</f>
        <v/>
      </c>
      <c r="K16" s="35" t="str">
        <f>IFERROR('[1]MES 생산성분석'!M22,"")</f>
        <v/>
      </c>
      <c r="L16" s="36" t="str">
        <f>IFERROR('[1]MES 생산성분석'!N22,"")</f>
        <v/>
      </c>
      <c r="M16" s="37" t="str">
        <f>IFERROR('[1]MES 생산성분석'!O22,"")</f>
        <v/>
      </c>
      <c r="N16" s="37">
        <f>IFERROR('[1]MES 생산성분석'!P22,"")</f>
        <v>0.9</v>
      </c>
      <c r="O16" s="25" t="str">
        <f>IF('[1]MES 생산성분석'!Q21="", "", '[1]MES 생산성분석'!Q22)</f>
        <v/>
      </c>
    </row>
    <row r="17" spans="1:15" ht="20.100000000000001" customHeight="1" x14ac:dyDescent="0.15">
      <c r="A17" s="27" t="str">
        <f>'[1]MES 생산성분석'!A23</f>
        <v>23호기 - ARBURG 200T</v>
      </c>
      <c r="B17" s="27" t="str">
        <f>'[1]MES 생산성분석'!C23</f>
        <v>TAS GEN2.0 COVER</v>
      </c>
      <c r="C17" s="28">
        <f>'[1]MES 생산성분석'!D23</f>
        <v>5394</v>
      </c>
      <c r="D17" s="29">
        <f>'[1]MES 생산성분석'!E23</f>
        <v>0</v>
      </c>
      <c r="E17" s="30">
        <f>'[1]MES 생산성분석'!F23</f>
        <v>5394</v>
      </c>
      <c r="F17" s="31">
        <f>'[1]MES 생산성분석'!G23</f>
        <v>6.5</v>
      </c>
      <c r="G17" s="32">
        <f>'[1]MES 생산성분석'!I23</f>
        <v>6.0170000000000003</v>
      </c>
      <c r="H17" s="32">
        <f>'[1]MES 생산성분석'!J23</f>
        <v>0.48299999999999998</v>
      </c>
      <c r="I17" s="33">
        <f>'[1]MES 생산성분석'!K23</f>
        <v>5.9930000000000003</v>
      </c>
      <c r="J17" s="34">
        <f>IFERROR('[1]MES 생산성분석'!L23,"")</f>
        <v>1</v>
      </c>
      <c r="K17" s="35">
        <f>IFERROR('[1]MES 생산성분석'!M23,"")</f>
        <v>0.99601130131294668</v>
      </c>
      <c r="L17" s="36">
        <f>IFERROR('[1]MES 생산성분석'!N23,"")</f>
        <v>0.9256923076923077</v>
      </c>
      <c r="M17" s="37">
        <f>IFERROR('[1]MES 생산성분석'!O23,"")</f>
        <v>0.92200000000000004</v>
      </c>
      <c r="N17" s="37">
        <f>IFERROR('[1]MES 생산성분석'!P23,"")</f>
        <v>0.9</v>
      </c>
      <c r="O17" s="25" t="str">
        <f>IF('[1]MES 생산성분석'!Q22="", "", '[1]MES 생산성분석'!Q23)</f>
        <v/>
      </c>
    </row>
    <row r="18" spans="1:15" ht="20.100000000000001" customHeight="1" x14ac:dyDescent="0.15">
      <c r="A18" s="27" t="str">
        <f>'[1]MES 생산성분석'!A24</f>
        <v>24호기 - 우진 220T</v>
      </c>
      <c r="B18" s="27" t="e">
        <f>'[1]MES 생산성분석'!C24</f>
        <v>#N/A</v>
      </c>
      <c r="C18" s="28">
        <f>'[1]MES 생산성분석'!D24</f>
        <v>0</v>
      </c>
      <c r="D18" s="29">
        <f>'[1]MES 생산성분석'!E24</f>
        <v>0</v>
      </c>
      <c r="E18" s="30">
        <f>'[1]MES 생산성분석'!F24</f>
        <v>0</v>
      </c>
      <c r="F18" s="31">
        <f>'[1]MES 생산성분석'!G24</f>
        <v>0</v>
      </c>
      <c r="G18" s="32">
        <f>'[1]MES 생산성분석'!I24</f>
        <v>0</v>
      </c>
      <c r="H18" s="32">
        <f>'[1]MES 생산성분석'!J24</f>
        <v>0</v>
      </c>
      <c r="I18" s="33">
        <f>'[1]MES 생산성분석'!K24</f>
        <v>0</v>
      </c>
      <c r="J18" s="34" t="str">
        <f>IFERROR('[1]MES 생산성분석'!L24,"")</f>
        <v/>
      </c>
      <c r="K18" s="35" t="str">
        <f>IFERROR('[1]MES 생산성분석'!M24,"")</f>
        <v/>
      </c>
      <c r="L18" s="36" t="str">
        <f>IFERROR('[1]MES 생산성분석'!N24,"")</f>
        <v/>
      </c>
      <c r="M18" s="37" t="str">
        <f>IFERROR('[1]MES 생산성분석'!O24,"")</f>
        <v/>
      </c>
      <c r="N18" s="37">
        <f>IFERROR('[1]MES 생산성분석'!P24,"")</f>
        <v>0.9</v>
      </c>
      <c r="O18" s="25" t="str">
        <f>IF('[1]MES 생산성분석'!Q23="", "", '[1]MES 생산성분석'!Q24)</f>
        <v/>
      </c>
    </row>
    <row r="19" spans="1:15" ht="20.100000000000001" customHeight="1" x14ac:dyDescent="0.15">
      <c r="A19" s="27" t="str">
        <f>'[1]MES 생산성분석'!A25</f>
        <v>25호기 - 우진 220T</v>
      </c>
      <c r="B19" s="27" t="str">
        <f>'[1]MES 생산성분석'!C25</f>
        <v>MEB5 ESC COVER</v>
      </c>
      <c r="C19" s="28">
        <f>'[1]MES 생산성분석'!D25</f>
        <v>8884</v>
      </c>
      <c r="D19" s="29">
        <f>'[1]MES 생산성분석'!E25</f>
        <v>26</v>
      </c>
      <c r="E19" s="30">
        <f>'[1]MES 생산성분석'!F25</f>
        <v>8910</v>
      </c>
      <c r="F19" s="31">
        <f>'[1]MES 생산성분석'!G25</f>
        <v>20.67</v>
      </c>
      <c r="G19" s="32">
        <f>'[1]MES 생산성분석'!I25</f>
        <v>20.67</v>
      </c>
      <c r="H19" s="32">
        <f>'[1]MES 생산성분석'!J25</f>
        <v>0</v>
      </c>
      <c r="I19" s="33">
        <f>'[1]MES 생산성분석'!K25</f>
        <v>18.068000000000001</v>
      </c>
      <c r="J19" s="34">
        <f>IFERROR('[1]MES 생산성분석'!L25,"")</f>
        <v>0.99708193041526372</v>
      </c>
      <c r="K19" s="35">
        <f>IFERROR('[1]MES 생산성분석'!M25,"")</f>
        <v>0.87411707789066284</v>
      </c>
      <c r="L19" s="36">
        <f>IFERROR('[1]MES 생산성분석'!N25,"")</f>
        <v>1</v>
      </c>
      <c r="M19" s="37">
        <f>IFERROR('[1]MES 생산성분석'!O25,"")</f>
        <v>0.87156634343217154</v>
      </c>
      <c r="N19" s="37">
        <f>IFERROR('[1]MES 생산성분석'!P25,"")</f>
        <v>0.9</v>
      </c>
      <c r="O19" s="25" t="str">
        <f>IF('[1]MES 생산성분석'!Q24="", "", '[1]MES 생산성분석'!Q25)</f>
        <v/>
      </c>
    </row>
    <row r="20" spans="1:15" ht="20.100000000000001" customHeight="1" x14ac:dyDescent="0.15">
      <c r="A20" s="27" t="str">
        <f>'[1]MES 생산성분석'!A26</f>
        <v>26호기 - 우진 220T</v>
      </c>
      <c r="B20" s="27" t="str">
        <f>'[1]MES 생산성분석'!C26</f>
        <v>601D M/CORE COVER (KBE 1033BK)</v>
      </c>
      <c r="C20" s="28">
        <f>'[1]MES 생산성분석'!D26</f>
        <v>27700</v>
      </c>
      <c r="D20" s="29">
        <f>'[1]MES 생산성분석'!E26</f>
        <v>0</v>
      </c>
      <c r="E20" s="30">
        <f>'[1]MES 생산성분석'!F26</f>
        <v>27700</v>
      </c>
      <c r="F20" s="31">
        <f>'[1]MES 생산성분석'!G26</f>
        <v>23.997999999999998</v>
      </c>
      <c r="G20" s="32">
        <f>'[1]MES 생산성분석'!I26</f>
        <v>23.756999999999998</v>
      </c>
      <c r="H20" s="32">
        <f>'[1]MES 생산성분석'!J26</f>
        <v>0.24099999999999999</v>
      </c>
      <c r="I20" s="33">
        <f>'[1]MES 생산성분석'!K26</f>
        <v>21.544</v>
      </c>
      <c r="J20" s="34">
        <f>IFERROR('[1]MES 생산성분석'!L26,"")</f>
        <v>1</v>
      </c>
      <c r="K20" s="35">
        <f>IFERROR('[1]MES 생산성분석'!M26,"")</f>
        <v>0.90684850780822501</v>
      </c>
      <c r="L20" s="36">
        <f>IFERROR('[1]MES 생산성분석'!N26,"")</f>
        <v>0.98995749645803821</v>
      </c>
      <c r="M20" s="37">
        <f>IFERROR('[1]MES 생산성분석'!O26,"")</f>
        <v>0.89774147845653818</v>
      </c>
      <c r="N20" s="37">
        <f>IFERROR('[1]MES 생산성분석'!P26,"")</f>
        <v>0.85</v>
      </c>
      <c r="O20" s="25" t="str">
        <f>IF('[1]MES 생산성분석'!Q25="", "", '[1]MES 생산성분석'!Q26)</f>
        <v/>
      </c>
    </row>
    <row r="21" spans="1:15" ht="20.100000000000001" customHeight="1" x14ac:dyDescent="0.15">
      <c r="A21" s="27" t="str">
        <f>'[1]MES 생산성분석'!A27</f>
        <v>27호기 - 우진 220T</v>
      </c>
      <c r="B21" s="27" t="e">
        <f>'[1]MES 생산성분석'!C27</f>
        <v>#N/A</v>
      </c>
      <c r="C21" s="28">
        <f>'[1]MES 생산성분석'!D27</f>
        <v>0</v>
      </c>
      <c r="D21" s="29">
        <f>'[1]MES 생산성분석'!E27</f>
        <v>0</v>
      </c>
      <c r="E21" s="30">
        <f>'[1]MES 생산성분석'!F27</f>
        <v>0</v>
      </c>
      <c r="F21" s="31">
        <f>'[1]MES 생산성분석'!G27</f>
        <v>0</v>
      </c>
      <c r="G21" s="32">
        <f>'[1]MES 생산성분석'!I27</f>
        <v>0</v>
      </c>
      <c r="H21" s="32">
        <f>'[1]MES 생산성분석'!J27</f>
        <v>0</v>
      </c>
      <c r="I21" s="33">
        <f>'[1]MES 생산성분석'!K27</f>
        <v>0</v>
      </c>
      <c r="J21" s="34" t="str">
        <f>IFERROR('[1]MES 생산성분석'!L27,"")</f>
        <v/>
      </c>
      <c r="K21" s="35" t="str">
        <f>IFERROR('[1]MES 생산성분석'!M27,"")</f>
        <v/>
      </c>
      <c r="L21" s="36" t="str">
        <f>IFERROR('[1]MES 생산성분석'!N27,"")</f>
        <v/>
      </c>
      <c r="M21" s="37" t="str">
        <f>IFERROR('[1]MES 생산성분석'!O27,"")</f>
        <v/>
      </c>
      <c r="N21" s="37">
        <f>IFERROR('[1]MES 생산성분석'!P27,"")</f>
        <v>0.85</v>
      </c>
      <c r="O21" s="25" t="str">
        <f>IF('[1]MES 생산성분석'!Q26="", "", '[1]MES 생산성분석'!Q27)</f>
        <v/>
      </c>
    </row>
    <row r="22" spans="1:15" ht="20.100000000000001" customHeight="1" x14ac:dyDescent="0.15">
      <c r="A22" s="27" t="str">
        <f>'[1]MES 생산성분석'!A28</f>
        <v>28호기 - 우진 150T</v>
      </c>
      <c r="B22" s="27" t="str">
        <f>'[1]MES 생산성분석'!C28</f>
        <v>iMEB2 BOBBIN HSV</v>
      </c>
      <c r="C22" s="28">
        <f>'[1]MES 생산성분석'!D28</f>
        <v>14700</v>
      </c>
      <c r="D22" s="29">
        <f>'[1]MES 생산성분석'!E28</f>
        <v>0</v>
      </c>
      <c r="E22" s="30">
        <f>'[1]MES 생산성분석'!F28</f>
        <v>14700</v>
      </c>
      <c r="F22" s="31">
        <f>'[1]MES 생산성분석'!G28</f>
        <v>18.145</v>
      </c>
      <c r="G22" s="32">
        <f>'[1]MES 생산성분석'!I28</f>
        <v>12.256</v>
      </c>
      <c r="H22" s="32">
        <f>'[1]MES 생산성분석'!J28</f>
        <v>5.8890000000000002</v>
      </c>
      <c r="I22" s="33">
        <f>'[1]MES 생산성분석'!K28</f>
        <v>12.25</v>
      </c>
      <c r="J22" s="34">
        <f>IFERROR('[1]MES 생산성분석'!L28,"")</f>
        <v>1</v>
      </c>
      <c r="K22" s="35">
        <f>IFERROR('[1]MES 생산성분석'!M28,"")</f>
        <v>0.99951044386422971</v>
      </c>
      <c r="L22" s="36">
        <f>IFERROR('[1]MES 생산성분석'!N28,"")</f>
        <v>0.67544778175806008</v>
      </c>
      <c r="M22" s="37">
        <f>IFERROR('[1]MES 생산성분석'!O28,"")</f>
        <v>0.67511711215210801</v>
      </c>
      <c r="N22" s="37">
        <f>IFERROR('[1]MES 생산성분석'!P28,"")</f>
        <v>0.87</v>
      </c>
      <c r="O22" s="25" t="str">
        <f>IF('[1]MES 생산성분석'!Q27="", "", '[1]MES 생산성분석'!Q28)</f>
        <v/>
      </c>
    </row>
    <row r="23" spans="1:15" ht="20.100000000000001" customHeight="1" x14ac:dyDescent="0.15">
      <c r="A23" s="27" t="str">
        <f>'[1]MES 생산성분석'!A29</f>
        <v>29호기 - 우진 150T</v>
      </c>
      <c r="B23" s="27" t="e">
        <f>'[1]MES 생산성분석'!C29</f>
        <v>#N/A</v>
      </c>
      <c r="C23" s="28">
        <f>'[1]MES 생산성분석'!D29</f>
        <v>0</v>
      </c>
      <c r="D23" s="29">
        <f>'[1]MES 생산성분석'!E29</f>
        <v>0</v>
      </c>
      <c r="E23" s="30">
        <f>'[1]MES 생산성분석'!F29</f>
        <v>0</v>
      </c>
      <c r="F23" s="31">
        <f>'[1]MES 생산성분석'!G29</f>
        <v>0</v>
      </c>
      <c r="G23" s="32">
        <f>'[1]MES 생산성분석'!I29</f>
        <v>0</v>
      </c>
      <c r="H23" s="32">
        <f>'[1]MES 생산성분석'!J29</f>
        <v>0</v>
      </c>
      <c r="I23" s="33">
        <f>'[1]MES 생산성분석'!K29</f>
        <v>0</v>
      </c>
      <c r="J23" s="34" t="str">
        <f>IFERROR('[1]MES 생산성분석'!L29,"")</f>
        <v/>
      </c>
      <c r="K23" s="35" t="str">
        <f>IFERROR('[1]MES 생산성분석'!M29,"")</f>
        <v/>
      </c>
      <c r="L23" s="36" t="str">
        <f>IFERROR('[1]MES 생산성분석'!N29,"")</f>
        <v/>
      </c>
      <c r="M23" s="37" t="str">
        <f>IFERROR('[1]MES 생산성분석'!O29,"")</f>
        <v/>
      </c>
      <c r="N23" s="37">
        <f>IFERROR('[1]MES 생산성분석'!P29,"")</f>
        <v>0.9</v>
      </c>
      <c r="O23" s="25">
        <f>IF('[1]MES 생산성분석'!Q28="", "", '[1]MES 생산성분석'!Q29)</f>
        <v>0</v>
      </c>
    </row>
    <row r="24" spans="1:15" ht="20.100000000000001" customHeight="1" x14ac:dyDescent="0.15">
      <c r="A24" s="27" t="str">
        <f>'[1]MES 생산성분석'!A30</f>
        <v>30호기 - 우진 150T</v>
      </c>
      <c r="B24" s="27" t="str">
        <f>'[1]MES 생산성분석'!C30</f>
        <v>iMEB2 BOBBIN WSV</v>
      </c>
      <c r="C24" s="28">
        <f>'[1]MES 생산성분석'!D30</f>
        <v>14200</v>
      </c>
      <c r="D24" s="29">
        <f>'[1]MES 생산성분석'!E30</f>
        <v>0</v>
      </c>
      <c r="E24" s="30">
        <f>'[1]MES 생산성분석'!F30</f>
        <v>14200</v>
      </c>
      <c r="F24" s="31">
        <f>'[1]MES 생산성분석'!G30</f>
        <v>12.4</v>
      </c>
      <c r="G24" s="32">
        <f>'[1]MES 생산성분석'!I30</f>
        <v>12.4</v>
      </c>
      <c r="H24" s="32">
        <f>'[1]MES 생산성분석'!J30</f>
        <v>0</v>
      </c>
      <c r="I24" s="33">
        <f>'[1]MES 생산성분석'!K30</f>
        <v>11.833</v>
      </c>
      <c r="J24" s="34">
        <f>IFERROR('[1]MES 생산성분석'!L30,"")</f>
        <v>1</v>
      </c>
      <c r="K24" s="35">
        <f>IFERROR('[1]MES 생산성분석'!M30,"")</f>
        <v>0.95427419354838705</v>
      </c>
      <c r="L24" s="36">
        <f>IFERROR('[1]MES 생산성분석'!N30,"")</f>
        <v>1</v>
      </c>
      <c r="M24" s="37">
        <f>IFERROR('[1]MES 생산성분석'!O30,"")</f>
        <v>0.95427419354838705</v>
      </c>
      <c r="N24" s="37">
        <f>IFERROR('[1]MES 생산성분석'!P30,"")</f>
        <v>0.87</v>
      </c>
      <c r="O24" s="25" t="str">
        <f>IF('[1]MES 생산성분석'!Q29="", "", '[1]MES 생산성분석'!Q30)</f>
        <v/>
      </c>
    </row>
    <row r="25" spans="1:15" ht="20.100000000000001" customHeight="1" x14ac:dyDescent="0.15">
      <c r="A25" s="27" t="str">
        <f>'[1]MES 생산성분석'!A31</f>
        <v>32호기 - ARBURG 100T</v>
      </c>
      <c r="B25" s="27" t="str">
        <f>'[1]MES 생산성분석'!C31</f>
        <v>MEB5 BOBBIN OV</v>
      </c>
      <c r="C25" s="28">
        <f>'[1]MES 생산성분석'!D31</f>
        <v>26008</v>
      </c>
      <c r="D25" s="29">
        <f>'[1]MES 생산성분석'!E31</f>
        <v>25</v>
      </c>
      <c r="E25" s="30">
        <f>'[1]MES 생산성분석'!F31</f>
        <v>26033</v>
      </c>
      <c r="F25" s="31">
        <f>'[1]MES 생산성분석'!G31</f>
        <v>14.93</v>
      </c>
      <c r="G25" s="32">
        <f>'[1]MES 생산성분석'!I31</f>
        <v>14.93</v>
      </c>
      <c r="H25" s="32">
        <f>'[1]MES 생산성분석'!J31</f>
        <v>0</v>
      </c>
      <c r="I25" s="33">
        <f>'[1]MES 생산성분석'!K31</f>
        <v>13.739000000000001</v>
      </c>
      <c r="J25" s="34">
        <f>IFERROR('[1]MES 생산성분석'!L31,"")</f>
        <v>0.99903968040563895</v>
      </c>
      <c r="K25" s="35">
        <f>IFERROR('[1]MES 생산성분석'!M31,"")</f>
        <v>0.92022772940388486</v>
      </c>
      <c r="L25" s="36">
        <f>IFERROR('[1]MES 생산성분석'!N31,"")</f>
        <v>1</v>
      </c>
      <c r="M25" s="37">
        <f>IFERROR('[1]MES 생산성분석'!O31,"")</f>
        <v>0.91934401668406396</v>
      </c>
      <c r="N25" s="37">
        <f>IFERROR('[1]MES 생산성분석'!P31,"")</f>
        <v>0.85</v>
      </c>
      <c r="O25" s="25" t="str">
        <f>IF('[1]MES 생산성분석'!Q30="", "", '[1]MES 생산성분석'!Q31)</f>
        <v/>
      </c>
    </row>
    <row r="26" spans="1:15" ht="20.100000000000001" customHeight="1" x14ac:dyDescent="0.15">
      <c r="A26" s="27" t="str">
        <f>'[1]MES 생산성분석'!A32</f>
        <v>33호기 - ARBURG 100T</v>
      </c>
      <c r="B26" s="27" t="str">
        <f>'[1]MES 생산성분석'!C32</f>
        <v>MEB5 BOBBIN IV</v>
      </c>
      <c r="C26" s="28">
        <f>'[1]MES 생산성분석'!D32</f>
        <v>38000</v>
      </c>
      <c r="D26" s="29">
        <f>'[1]MES 생산성분석'!E32</f>
        <v>43</v>
      </c>
      <c r="E26" s="30">
        <f>'[1]MES 생산성분석'!F32</f>
        <v>38043</v>
      </c>
      <c r="F26" s="31">
        <f>'[1]MES 생산성분석'!G32</f>
        <v>23.995999999999999</v>
      </c>
      <c r="G26" s="32">
        <f>'[1]MES 생산성분석'!I32</f>
        <v>23.995999999999999</v>
      </c>
      <c r="H26" s="32">
        <f>'[1]MES 생산성분석'!J32</f>
        <v>0</v>
      </c>
      <c r="I26" s="33">
        <f>'[1]MES 생산성분석'!K32</f>
        <v>20.078000000000003</v>
      </c>
      <c r="J26" s="34">
        <f>IFERROR('[1]MES 생산성분석'!L32,"")</f>
        <v>0.99886970007622955</v>
      </c>
      <c r="K26" s="35">
        <f>IFERROR('[1]MES 생산성분석'!M32,"")</f>
        <v>0.83672278713118875</v>
      </c>
      <c r="L26" s="36">
        <f>IFERROR('[1]MES 생산성분석'!N32,"")</f>
        <v>1</v>
      </c>
      <c r="M26" s="37">
        <f>IFERROR('[1]MES 생산성분석'!O32,"")</f>
        <v>0.83577703942867732</v>
      </c>
      <c r="N26" s="37">
        <f>IFERROR('[1]MES 생산성분석'!P32,"")</f>
        <v>0.85</v>
      </c>
      <c r="O26" s="25" t="str">
        <f>IF('[1]MES 생산성분석'!Q31="", "", '[1]MES 생산성분석'!Q32)</f>
        <v/>
      </c>
    </row>
    <row r="27" spans="1:15" ht="20.100000000000001" customHeight="1" x14ac:dyDescent="0.15">
      <c r="A27" s="27" t="str">
        <f>'[1]MES 생산성분석'!A33</f>
        <v>35호기 - ARBURG 100T (자동)</v>
      </c>
      <c r="B27" s="27" t="str">
        <f>'[1]MES 생산성분석'!C33</f>
        <v>LK EV CMU BASE</v>
      </c>
      <c r="C27" s="28">
        <f>'[1]MES 생산성분석'!D33</f>
        <v>2279</v>
      </c>
      <c r="D27" s="29">
        <f>'[1]MES 생산성분석'!E33</f>
        <v>0</v>
      </c>
      <c r="E27" s="30">
        <f>'[1]MES 생산성분석'!F33</f>
        <v>2279</v>
      </c>
      <c r="F27" s="31">
        <f>'[1]MES 생산성분석'!G33</f>
        <v>20.851999999999997</v>
      </c>
      <c r="G27" s="32">
        <f>'[1]MES 생산성분석'!I33</f>
        <v>20.335999999999999</v>
      </c>
      <c r="H27" s="32">
        <f>'[1]MES 생산성분석'!J33</f>
        <v>0.51600000000000001</v>
      </c>
      <c r="I27" s="33">
        <f>'[1]MES 생산성분석'!K33</f>
        <v>18.149999999999999</v>
      </c>
      <c r="J27" s="34">
        <f>IFERROR('[1]MES 생산성분석'!L33,"")</f>
        <v>1</v>
      </c>
      <c r="K27" s="35">
        <f>IFERROR('[1]MES 생산성분석'!M33,"")</f>
        <v>0.89250590086546022</v>
      </c>
      <c r="L27" s="36">
        <f>IFERROR('[1]MES 생산성분석'!N33,"")</f>
        <v>0.97525417226165367</v>
      </c>
      <c r="M27" s="37">
        <f>IFERROR('[1]MES 생산성분석'!O33,"")</f>
        <v>0.87042010358718591</v>
      </c>
      <c r="N27" s="37">
        <f>IFERROR('[1]MES 생산성분석'!P33,"")</f>
        <v>0.9</v>
      </c>
      <c r="O27" s="38" t="str">
        <f>IF('[1]MES 생산성분석'!Q32="", "", '[1]MES 생산성분석'!Q33)</f>
        <v/>
      </c>
    </row>
    <row r="28" spans="1:15" ht="20.100000000000001" customHeight="1" x14ac:dyDescent="0.15">
      <c r="A28" s="27" t="str">
        <f>'[1]MES 생산성분석'!A34</f>
        <v>36호기 - ZHAFIR 120T</v>
      </c>
      <c r="B28" s="27" t="str">
        <f>'[1]MES 생산성분석'!C34</f>
        <v>600C 1차 SPOOL (KOPLA)</v>
      </c>
      <c r="C28" s="28">
        <f>'[1]MES 생산성분석'!D34</f>
        <v>20400</v>
      </c>
      <c r="D28" s="29">
        <f>'[1]MES 생산성분석'!E34</f>
        <v>0</v>
      </c>
      <c r="E28" s="30">
        <f>'[1]MES 생산성분석'!F34</f>
        <v>20400</v>
      </c>
      <c r="F28" s="31">
        <f>'[1]MES 생산성분석'!G34</f>
        <v>23.47</v>
      </c>
      <c r="G28" s="32">
        <f>'[1]MES 생산성분석'!I34</f>
        <v>23.209</v>
      </c>
      <c r="H28" s="32">
        <f>'[1]MES 생산성분석'!J34</f>
        <v>0.26100000000000001</v>
      </c>
      <c r="I28" s="33">
        <f>'[1]MES 생산성분석'!K34</f>
        <v>19.832999999999998</v>
      </c>
      <c r="J28" s="34">
        <f>IFERROR('[1]MES 생산성분석'!L34,"")</f>
        <v>1</v>
      </c>
      <c r="K28" s="35">
        <f>IFERROR('[1]MES 생산성분석'!M34,"")</f>
        <v>0.85453918738420431</v>
      </c>
      <c r="L28" s="36">
        <f>IFERROR('[1]MES 생산성분석'!N34,"")</f>
        <v>0.98887942053685562</v>
      </c>
      <c r="M28" s="37">
        <f>IFERROR('[1]MES 생산성분석'!O34,"")</f>
        <v>0.84503621644652749</v>
      </c>
      <c r="N28" s="37">
        <f>IFERROR('[1]MES 생산성분석'!P34,"")</f>
        <v>0.87</v>
      </c>
      <c r="O28" s="38" t="str">
        <f>IF('[1]MES 생산성분석'!Q33="", "", '[1]MES 생산성분석'!Q34)</f>
        <v/>
      </c>
    </row>
    <row r="29" spans="1:15" ht="20.100000000000001" customHeight="1" x14ac:dyDescent="0.15">
      <c r="A29" s="27" t="str">
        <f>'[1]MES 생산성분석'!A35</f>
        <v>37호기 - ARBURG 100T (자동)</v>
      </c>
      <c r="B29" s="27" t="str">
        <f>'[1]MES 생산성분석'!C35</f>
        <v>MEB5 BOBBIN IV</v>
      </c>
      <c r="C29" s="28">
        <f>'[1]MES 생산성분석'!D35</f>
        <v>30800</v>
      </c>
      <c r="D29" s="29">
        <f>'[1]MES 생산성분석'!E35</f>
        <v>0</v>
      </c>
      <c r="E29" s="30">
        <f>'[1]MES 생산성분석'!F35</f>
        <v>30800</v>
      </c>
      <c r="F29" s="31">
        <f>'[1]MES 생산성분석'!G35</f>
        <v>17.010000000000002</v>
      </c>
      <c r="G29" s="32">
        <f>'[1]MES 생산성분석'!I35</f>
        <v>17.010000000000002</v>
      </c>
      <c r="H29" s="32">
        <f>'[1]MES 생산성분석'!J35</f>
        <v>0</v>
      </c>
      <c r="I29" s="33">
        <f>'[1]MES 생산성분석'!K35</f>
        <v>16.256</v>
      </c>
      <c r="J29" s="34">
        <f>IFERROR('[1]MES 생산성분석'!L35,"")</f>
        <v>1</v>
      </c>
      <c r="K29" s="35">
        <f>IFERROR('[1]MES 생산성분석'!M35,"")</f>
        <v>0.95567313345091121</v>
      </c>
      <c r="L29" s="36">
        <f>IFERROR('[1]MES 생산성분석'!N35,"")</f>
        <v>1</v>
      </c>
      <c r="M29" s="37">
        <f>IFERROR('[1]MES 생산성분석'!O35,"")</f>
        <v>0.95567313345091121</v>
      </c>
      <c r="N29" s="37">
        <f>IFERROR('[1]MES 생산성분석'!P35,"")</f>
        <v>0.85</v>
      </c>
      <c r="O29" s="38" t="str">
        <f>IF('[1]MES 생산성분석'!Q34="", "", '[1]MES 생산성분석'!Q35)</f>
        <v/>
      </c>
    </row>
    <row r="30" spans="1:15" ht="20.100000000000001" customHeight="1" x14ac:dyDescent="0.15">
      <c r="A30" s="27" t="str">
        <f>'[1]MES 생산성분석'!A36</f>
        <v>38호기 - ARBURG 100T (자동)</v>
      </c>
      <c r="B30" s="27" t="str">
        <f>'[1]MES 생산성분석'!C36</f>
        <v>ETC BRUSH HOLDER</v>
      </c>
      <c r="C30" s="28">
        <f>'[1]MES 생산성분석'!D36</f>
        <v>10792</v>
      </c>
      <c r="D30" s="29">
        <f>'[1]MES 생산성분석'!E36</f>
        <v>0</v>
      </c>
      <c r="E30" s="30">
        <f>'[1]MES 생산성분석'!F36</f>
        <v>10792</v>
      </c>
      <c r="F30" s="31">
        <f>'[1]MES 생산성분석'!G36</f>
        <v>20.678000000000001</v>
      </c>
      <c r="G30" s="32">
        <f>'[1]MES 생산성분석'!I36</f>
        <v>19.244</v>
      </c>
      <c r="H30" s="32">
        <f>'[1]MES 생산성분석'!J36</f>
        <v>1.4340000000000002</v>
      </c>
      <c r="I30" s="33">
        <f>'[1]MES 생산성분석'!K36</f>
        <v>18.585999999999999</v>
      </c>
      <c r="J30" s="34">
        <f>IFERROR('[1]MES 생산성분석'!L36,"")</f>
        <v>1</v>
      </c>
      <c r="K30" s="35">
        <f>IFERROR('[1]MES 생산성분석'!M36,"")</f>
        <v>0.96580752442319673</v>
      </c>
      <c r="L30" s="36">
        <f>IFERROR('[1]MES 생산성분석'!N36,"")</f>
        <v>0.93065093335912563</v>
      </c>
      <c r="M30" s="37">
        <f>IFERROR('[1]MES 생산성분석'!O36,"")</f>
        <v>0.89882967404971459</v>
      </c>
      <c r="N30" s="37">
        <f>IFERROR('[1]MES 생산성분석'!P36,"")</f>
        <v>0.9</v>
      </c>
      <c r="O30" s="38" t="str">
        <f>IF('[1]MES 생산성분석'!Q35="", "", '[1]MES 생산성분석'!Q36)</f>
        <v/>
      </c>
    </row>
    <row r="31" spans="1:15" ht="20.100000000000001" customHeight="1" x14ac:dyDescent="0.15">
      <c r="A31" s="27" t="str">
        <f>'[1]MES 생산성분석'!A37</f>
        <v>39호기 - ZHAFIR 120T</v>
      </c>
      <c r="B31" s="27" t="e">
        <f>'[1]MES 생산성분석'!C37</f>
        <v>#N/A</v>
      </c>
      <c r="C31" s="28">
        <f>'[1]MES 생산성분석'!D37</f>
        <v>0</v>
      </c>
      <c r="D31" s="29">
        <f>'[1]MES 생산성분석'!E37</f>
        <v>0</v>
      </c>
      <c r="E31" s="30">
        <f>'[1]MES 생산성분석'!F37</f>
        <v>0</v>
      </c>
      <c r="F31" s="31">
        <f>'[1]MES 생산성분석'!G37</f>
        <v>0</v>
      </c>
      <c r="G31" s="32">
        <f>'[1]MES 생산성분석'!I37</f>
        <v>0</v>
      </c>
      <c r="H31" s="32">
        <f>'[1]MES 생산성분석'!J37</f>
        <v>0</v>
      </c>
      <c r="I31" s="33">
        <f>'[1]MES 생산성분석'!K37</f>
        <v>0</v>
      </c>
      <c r="J31" s="34" t="str">
        <f>IFERROR('[1]MES 생산성분석'!L37,"")</f>
        <v/>
      </c>
      <c r="K31" s="35" t="str">
        <f>IFERROR('[1]MES 생산성분석'!M37,"")</f>
        <v/>
      </c>
      <c r="L31" s="36" t="str">
        <f>IFERROR('[1]MES 생산성분석'!N37,"")</f>
        <v/>
      </c>
      <c r="M31" s="37" t="str">
        <f>IFERROR('[1]MES 생산성분석'!O37,"")</f>
        <v/>
      </c>
      <c r="N31" s="37">
        <f>IFERROR('[1]MES 생산성분석'!P37,"")</f>
        <v>0.9</v>
      </c>
      <c r="O31" s="38" t="str">
        <f>IF('[1]MES 생산성분석'!Q36="", "", '[1]MES 생산성분석'!Q37)</f>
        <v/>
      </c>
    </row>
    <row r="32" spans="1:15" ht="20.100000000000001" customHeight="1" x14ac:dyDescent="0.15">
      <c r="A32" s="27" t="str">
        <f>'[1]MES 생산성분석'!A39</f>
        <v>40호기 - ARBURG 200T (자동)</v>
      </c>
      <c r="B32" s="27" t="str">
        <f>'[1]MES 생산성분석'!C39</f>
        <v>KEV3 COVER QC_P (9144060696)</v>
      </c>
      <c r="C32" s="28">
        <f>'[1]MES 생산성분석'!D39</f>
        <v>10500</v>
      </c>
      <c r="D32" s="29">
        <f>'[1]MES 생산성분석'!E39</f>
        <v>0</v>
      </c>
      <c r="E32" s="30">
        <f>'[1]MES 생산성분석'!F39</f>
        <v>10500</v>
      </c>
      <c r="F32" s="31">
        <f>'[1]MES 생산성분석'!G39</f>
        <v>24</v>
      </c>
      <c r="G32" s="32">
        <f>'[1]MES 생산성분석'!I39</f>
        <v>24</v>
      </c>
      <c r="H32" s="32">
        <f>'[1]MES 생산성분석'!J39</f>
        <v>0</v>
      </c>
      <c r="I32" s="33">
        <f>'[1]MES 생산성분석'!K39</f>
        <v>23.332999999999998</v>
      </c>
      <c r="J32" s="34">
        <f>IFERROR('[1]MES 생산성분석'!L39,"")</f>
        <v>1</v>
      </c>
      <c r="K32" s="35">
        <f>IFERROR('[1]MES 생산성분석'!M39,"")</f>
        <v>0.97220833333333323</v>
      </c>
      <c r="L32" s="36">
        <f>IFERROR('[1]MES 생산성분석'!N39,"")</f>
        <v>1</v>
      </c>
      <c r="M32" s="37">
        <f>IFERROR('[1]MES 생산성분석'!O39,"")</f>
        <v>0.97220833333333323</v>
      </c>
      <c r="N32" s="37">
        <f>IFERROR('[1]MES 생산성분석'!P39,"")</f>
        <v>0.87</v>
      </c>
      <c r="O32" s="38" t="str">
        <f>IF('[1]MES 생산성분석'!Q39="", "", '[1]MES 생산성분석'!Q39)</f>
        <v/>
      </c>
    </row>
    <row r="33" spans="1:15" ht="20.100000000000001" customHeight="1" x14ac:dyDescent="0.15">
      <c r="A33" s="27" t="str">
        <f>'[1]MES 생산성분석'!A40</f>
        <v>41호기 - 우진 220T (자동)</v>
      </c>
      <c r="B33" s="27" t="str">
        <f>'[1]MES 생산성분석'!C40</f>
        <v>KEV2 COVER 10.5 GL3 (9144060669)</v>
      </c>
      <c r="C33" s="28">
        <f>'[1]MES 생산성분석'!D40</f>
        <v>10228</v>
      </c>
      <c r="D33" s="29">
        <f>'[1]MES 생산성분석'!E40</f>
        <v>0</v>
      </c>
      <c r="E33" s="30">
        <f>'[1]MES 생산성분석'!F40</f>
        <v>10228</v>
      </c>
      <c r="F33" s="31">
        <f>'[1]MES 생산성분석'!G40</f>
        <v>20.126000000000001</v>
      </c>
      <c r="G33" s="32">
        <f>'[1]MES 생산성분석'!I40</f>
        <v>20.126000000000001</v>
      </c>
      <c r="H33" s="32">
        <f>'[1]MES 생산성분석'!J40</f>
        <v>0</v>
      </c>
      <c r="I33" s="33">
        <f>'[1]MES 생산성분석'!K40</f>
        <v>19.504999999999999</v>
      </c>
      <c r="J33" s="34">
        <f>IFERROR('[1]MES 생산성분석'!L40,"")</f>
        <v>1</v>
      </c>
      <c r="K33" s="35">
        <f>IFERROR('[1]MES 생산성분석'!M40,"")</f>
        <v>0.96914439034085254</v>
      </c>
      <c r="L33" s="36">
        <f>IFERROR('[1]MES 생산성분석'!N40,"")</f>
        <v>1</v>
      </c>
      <c r="M33" s="37">
        <f>IFERROR('[1]MES 생산성분석'!O40,"")</f>
        <v>0.96914439034085254</v>
      </c>
      <c r="N33" s="37">
        <f>IFERROR('[1]MES 생산성분석'!P40,"")</f>
        <v>0.87</v>
      </c>
      <c r="O33" s="38" t="str">
        <f>IF('[1]MES 생산성분석'!Q40="", "", '[1]MES 생산성분석'!Q40)</f>
        <v/>
      </c>
    </row>
    <row r="34" spans="1:15" ht="20.100000000000001" customHeight="1" x14ac:dyDescent="0.15">
      <c r="A34" s="27" t="str">
        <f>'[1]MES 생산성분석'!A41</f>
        <v>42호기 - 우진 220T (자동)</v>
      </c>
      <c r="B34" s="27" t="str">
        <f>'[1]MES 생산성분석'!C41</f>
        <v>KEV3 COVER 5.0 (9044060246)</v>
      </c>
      <c r="C34" s="28">
        <f>'[1]MES 생산성분석'!D41</f>
        <v>9964</v>
      </c>
      <c r="D34" s="29">
        <f>'[1]MES 생산성분석'!E41</f>
        <v>0</v>
      </c>
      <c r="E34" s="30">
        <f>'[1]MES 생산성분석'!F41</f>
        <v>9964</v>
      </c>
      <c r="F34" s="31">
        <f>'[1]MES 생산성분석'!G41</f>
        <v>21.518000000000001</v>
      </c>
      <c r="G34" s="32">
        <f>'[1]MES 생산성분석'!I41</f>
        <v>21.518000000000001</v>
      </c>
      <c r="H34" s="32">
        <f>'[1]MES 생산성분석'!J41</f>
        <v>0</v>
      </c>
      <c r="I34" s="33">
        <f>'[1]MES 생산성분석'!K41</f>
        <v>18.544</v>
      </c>
      <c r="J34" s="34">
        <f>IFERROR('[1]MES 생산성분석'!L41,"")</f>
        <v>1</v>
      </c>
      <c r="K34" s="35">
        <f>IFERROR('[1]MES 생산성분석'!M41,"")</f>
        <v>0.86179012919416298</v>
      </c>
      <c r="L34" s="36">
        <f>IFERROR('[1]MES 생산성분석'!N41,"")</f>
        <v>1</v>
      </c>
      <c r="M34" s="37">
        <f>IFERROR('[1]MES 생산성분석'!O41,"")</f>
        <v>0.86179012919416298</v>
      </c>
      <c r="N34" s="37">
        <f>IFERROR('[1]MES 생산성분석'!P41,"")</f>
        <v>0.87</v>
      </c>
      <c r="O34" s="38" t="str">
        <f>IF('[1]MES 생산성분석'!Q41="", "", '[1]MES 생산성분석'!Q41)</f>
        <v/>
      </c>
    </row>
    <row r="35" spans="1:15" ht="20.100000000000001" customHeight="1" x14ac:dyDescent="0.15">
      <c r="A35" s="27" t="str">
        <f>'[1]MES 생산성분석'!A42</f>
        <v>43호기 - ARBURG 200T</v>
      </c>
      <c r="B35" s="27" t="e">
        <f>'[1]MES 생산성분석'!C42</f>
        <v>#N/A</v>
      </c>
      <c r="C35" s="28">
        <f>'[1]MES 생산성분석'!D42</f>
        <v>0</v>
      </c>
      <c r="D35" s="29">
        <f>'[1]MES 생산성분석'!E42</f>
        <v>0</v>
      </c>
      <c r="E35" s="30">
        <f>'[1]MES 생산성분석'!F42</f>
        <v>0</v>
      </c>
      <c r="F35" s="31">
        <f>'[1]MES 생산성분석'!G42</f>
        <v>0</v>
      </c>
      <c r="G35" s="32">
        <f>'[1]MES 생산성분석'!I42</f>
        <v>0</v>
      </c>
      <c r="H35" s="32">
        <f>'[1]MES 생산성분석'!J42</f>
        <v>0</v>
      </c>
      <c r="I35" s="33">
        <f>'[1]MES 생산성분석'!K42</f>
        <v>0</v>
      </c>
      <c r="J35" s="34" t="str">
        <f>IFERROR('[1]MES 생산성분석'!L42,"")</f>
        <v/>
      </c>
      <c r="K35" s="35" t="str">
        <f>IFERROR('[1]MES 생산성분석'!M42,"")</f>
        <v/>
      </c>
      <c r="L35" s="36" t="str">
        <f>IFERROR('[1]MES 생산성분석'!N42,"")</f>
        <v/>
      </c>
      <c r="M35" s="37" t="str">
        <f>IFERROR('[1]MES 생산성분석'!O42,"")</f>
        <v/>
      </c>
      <c r="N35" s="37">
        <f>IFERROR('[1]MES 생산성분석'!P42,"")</f>
        <v>0.87</v>
      </c>
      <c r="O35" s="38" t="str">
        <f>IF('[1]MES 생산성분석'!Q42="", "", '[1]MES 생산성분석'!Q42)</f>
        <v/>
      </c>
    </row>
    <row r="36" spans="1:15" ht="20.100000000000001" customHeight="1" x14ac:dyDescent="0.15">
      <c r="A36" s="27" t="str">
        <f>'[1]MES 생산성분석'!A43</f>
        <v>44호기 - 우진 220T</v>
      </c>
      <c r="B36" s="27" t="str">
        <f>'[1]MES 생산성분석'!C43</f>
        <v>IDB COVER ASS'Y</v>
      </c>
      <c r="C36" s="28">
        <f>'[1]MES 생산성분석'!D43</f>
        <v>1290</v>
      </c>
      <c r="D36" s="29">
        <f>'[1]MES 생산성분석'!E43</f>
        <v>0</v>
      </c>
      <c r="E36" s="30">
        <f>'[1]MES 생산성분석'!F43</f>
        <v>1290</v>
      </c>
      <c r="F36" s="31">
        <f>'[1]MES 생산성분석'!G43</f>
        <v>7.9969999999999999</v>
      </c>
      <c r="G36" s="32">
        <f>'[1]MES 생산성분석'!I43</f>
        <v>7.9969999999999999</v>
      </c>
      <c r="H36" s="32">
        <f>'[1]MES 생산성분석'!J43</f>
        <v>0</v>
      </c>
      <c r="I36" s="33">
        <f>'[1]MES 생산성분석'!K43</f>
        <v>6.056</v>
      </c>
      <c r="J36" s="34">
        <f>IFERROR('[1]MES 생산성분석'!L43,"")</f>
        <v>1</v>
      </c>
      <c r="K36" s="35">
        <f>IFERROR('[1]MES 생산성분석'!M43,"")</f>
        <v>0.75728398149305987</v>
      </c>
      <c r="L36" s="36">
        <f>IFERROR('[1]MES 생산성분석'!N43,"")</f>
        <v>1</v>
      </c>
      <c r="M36" s="37">
        <f>IFERROR('[1]MES 생산성분석'!O43,"")</f>
        <v>0.75728398149305987</v>
      </c>
      <c r="N36" s="37">
        <f>IFERROR('[1]MES 생산성분석'!P43,"")</f>
        <v>0.87</v>
      </c>
      <c r="O36" s="38" t="str">
        <f>IF('[1]MES 생산성분석'!Q43="", "", '[1]MES 생산성분석'!Q43)</f>
        <v>*야간 융착기 양품 취출부, 구동부 센서 인식 불량
→ 센서 및 배선 점검, 감도 조정, 간섭물 제거 후 가동
*야간 로보트 흡착 이상으로 인한 제품 낙하 다수 발생(19ea)
→ 에어, 센서 조정, 로보트 흡착 위치 점검</v>
      </c>
    </row>
    <row r="37" spans="1:15" ht="20.100000000000001" customHeight="1" x14ac:dyDescent="0.15">
      <c r="A37" s="27" t="str">
        <f>'[1]MES 생산성분석'!A44</f>
        <v>45호기 - 우진 220T</v>
      </c>
      <c r="B37" s="27" t="e">
        <f>'[1]MES 생산성분석'!C44</f>
        <v>#N/A</v>
      </c>
      <c r="C37" s="28">
        <f>'[1]MES 생산성분석'!D44</f>
        <v>0</v>
      </c>
      <c r="D37" s="29">
        <f>'[1]MES 생산성분석'!E44</f>
        <v>0</v>
      </c>
      <c r="E37" s="30">
        <f>'[1]MES 생산성분석'!F44</f>
        <v>0</v>
      </c>
      <c r="F37" s="31">
        <f>'[1]MES 생산성분석'!G44</f>
        <v>0</v>
      </c>
      <c r="G37" s="32">
        <f>'[1]MES 생산성분석'!I44</f>
        <v>0</v>
      </c>
      <c r="H37" s="32">
        <f>'[1]MES 생산성분석'!J44</f>
        <v>0</v>
      </c>
      <c r="I37" s="33">
        <f>'[1]MES 생산성분석'!K44</f>
        <v>0</v>
      </c>
      <c r="J37" s="34" t="str">
        <f>IFERROR('[1]MES 생산성분석'!L44,"")</f>
        <v/>
      </c>
      <c r="K37" s="35" t="str">
        <f>IFERROR('[1]MES 생산성분석'!M44,"")</f>
        <v/>
      </c>
      <c r="L37" s="36" t="str">
        <f>IFERROR('[1]MES 생산성분석'!N44,"")</f>
        <v/>
      </c>
      <c r="M37" s="37" t="str">
        <f>IFERROR('[1]MES 생산성분석'!O44,"")</f>
        <v/>
      </c>
      <c r="N37" s="37">
        <f>IFERROR('[1]MES 생산성분석'!P44,"")</f>
        <v>0.85</v>
      </c>
      <c r="O37" s="38" t="str">
        <f>IF('[1]MES 생산성분석'!Q44="", "", '[1]MES 생산성분석'!Q44)</f>
        <v/>
      </c>
    </row>
    <row r="38" spans="1:15" ht="20.100000000000001" customHeight="1" x14ac:dyDescent="0.15">
      <c r="A38" s="27" t="str">
        <f>'[1]MES 생산성분석'!A45</f>
        <v>46호기 - MEW 250T</v>
      </c>
      <c r="B38" s="27" t="str">
        <f>'[1]MES 생산성분석'!C45</f>
        <v>LRR30 HOUSING(AS161-A81-00)</v>
      </c>
      <c r="C38" s="28">
        <f>'[1]MES 생산성분석'!D45</f>
        <v>2076</v>
      </c>
      <c r="D38" s="29">
        <f>'[1]MES 생산성분석'!E45</f>
        <v>14</v>
      </c>
      <c r="E38" s="30">
        <f>'[1]MES 생산성분석'!F45</f>
        <v>2090</v>
      </c>
      <c r="F38" s="31">
        <f>'[1]MES 생산성분석'!G45</f>
        <v>8.3990000000000009</v>
      </c>
      <c r="G38" s="32">
        <f>'[1]MES 생산성분석'!I45</f>
        <v>5.4570000000000007</v>
      </c>
      <c r="H38" s="32">
        <f>'[1]MES 생산성분석'!J45</f>
        <v>2.9420000000000002</v>
      </c>
      <c r="I38" s="33">
        <f>'[1]MES 생산성분석'!K45</f>
        <v>5.4569999999999999</v>
      </c>
      <c r="J38" s="34">
        <f>IFERROR('[1]MES 생산성분석'!L45,"")</f>
        <v>0.99330143540669857</v>
      </c>
      <c r="K38" s="35">
        <f>IFERROR('[1]MES 생산성분석'!M45,"")</f>
        <v>0.99999999999999989</v>
      </c>
      <c r="L38" s="36">
        <f>IFERROR('[1]MES 생산성분석'!N45,"")</f>
        <v>0.64972020478628412</v>
      </c>
      <c r="M38" s="37">
        <f>IFERROR('[1]MES 생산성분석'!O45,"")</f>
        <v>0.64536801202695004</v>
      </c>
      <c r="N38" s="37">
        <f>IFERROR('[1]MES 생산성분석'!P45,"")</f>
        <v>0.84</v>
      </c>
      <c r="O38" s="38" t="str">
        <f>IF('[1]MES 생산성분석'!Q45="", "", '[1]MES 생산성분석'!Q45)</f>
        <v>*주간 Cav.1 통전 불량
*야간 Cav.2 통전 불량
→ 주, 야간 통전 불량 다수 발생. 취출 및 인서트 위치 조정
→ 발생 횟수 증가로 인한 효율 저하</v>
      </c>
    </row>
    <row r="39" spans="1:15" ht="20.100000000000001" customHeight="1" x14ac:dyDescent="0.15">
      <c r="A39" s="27" t="str">
        <f>'[1]MES 생산성분석'!A46</f>
        <v>47호기 - ARBURG 200T</v>
      </c>
      <c r="B39" s="27" t="e">
        <f>'[1]MES 생산성분석'!C46</f>
        <v>#N/A</v>
      </c>
      <c r="C39" s="28">
        <f>'[1]MES 생산성분석'!D46</f>
        <v>0</v>
      </c>
      <c r="D39" s="29">
        <f>'[1]MES 생산성분석'!E46</f>
        <v>0</v>
      </c>
      <c r="E39" s="30">
        <f>'[1]MES 생산성분석'!F46</f>
        <v>0</v>
      </c>
      <c r="F39" s="31">
        <f>'[1]MES 생산성분석'!G46</f>
        <v>0</v>
      </c>
      <c r="G39" s="32">
        <f>'[1]MES 생산성분석'!I46</f>
        <v>0</v>
      </c>
      <c r="H39" s="32">
        <f>'[1]MES 생산성분석'!J46</f>
        <v>0</v>
      </c>
      <c r="I39" s="33">
        <f>'[1]MES 생산성분석'!K46</f>
        <v>0</v>
      </c>
      <c r="J39" s="34" t="str">
        <f>IFERROR('[1]MES 생산성분석'!L46,"")</f>
        <v/>
      </c>
      <c r="K39" s="35" t="str">
        <f>IFERROR('[1]MES 생산성분석'!M46,"")</f>
        <v/>
      </c>
      <c r="L39" s="36" t="str">
        <f>IFERROR('[1]MES 생산성분석'!N46,"")</f>
        <v/>
      </c>
      <c r="M39" s="37" t="str">
        <f>IFERROR('[1]MES 생산성분석'!O46,"")</f>
        <v/>
      </c>
      <c r="N39" s="37">
        <f>IFERROR('[1]MES 생산성분석'!P46,"")</f>
        <v>0.75</v>
      </c>
      <c r="O39" s="38" t="str">
        <f>IF('[1]MES 생산성분석'!Q46="", "", '[1]MES 생산성분석'!Q46)</f>
        <v/>
      </c>
    </row>
    <row r="40" spans="1:15" ht="20.100000000000001" customHeight="1" x14ac:dyDescent="0.15">
      <c r="A40" s="27" t="str">
        <f>'[1]MES 생산성분석'!A47</f>
        <v>48호기 - 원일 200T</v>
      </c>
      <c r="B40" s="27" t="str">
        <f>'[1]MES 생산성분석'!C47</f>
        <v>MEB5 ESCi HOUSING (S)</v>
      </c>
      <c r="C40" s="28">
        <f>'[1]MES 생산성분석'!D47</f>
        <v>2918</v>
      </c>
      <c r="D40" s="29">
        <f>'[1]MES 생산성분석'!E47</f>
        <v>3</v>
      </c>
      <c r="E40" s="30">
        <f>'[1]MES 생산성분석'!F47</f>
        <v>2921</v>
      </c>
      <c r="F40" s="31">
        <f>'[1]MES 생산성분석'!G47</f>
        <v>17.86</v>
      </c>
      <c r="G40" s="32">
        <f>'[1]MES 생산성분석'!I47</f>
        <v>17.71</v>
      </c>
      <c r="H40" s="32">
        <f>'[1]MES 생산성분석'!J47</f>
        <v>0.15</v>
      </c>
      <c r="I40" s="33">
        <f>'[1]MES 생산성분석'!K47</f>
        <v>17.039000000000001</v>
      </c>
      <c r="J40" s="34">
        <f>IFERROR('[1]MES 생산성분석'!L47,"")</f>
        <v>0.99897295446764811</v>
      </c>
      <c r="K40" s="35">
        <f>IFERROR('[1]MES 생산성분석'!M47,"")</f>
        <v>0.96211180124223605</v>
      </c>
      <c r="L40" s="36">
        <f>IFERROR('[1]MES 생산성분석'!N47,"")</f>
        <v>0.99160134378499443</v>
      </c>
      <c r="M40" s="37">
        <f>IFERROR('[1]MES 생산성분석'!O47,"")</f>
        <v>0.95305152134234361</v>
      </c>
      <c r="N40" s="37">
        <f>IFERROR('[1]MES 생산성분석'!P47,"")</f>
        <v>0.87</v>
      </c>
      <c r="O40" s="38" t="str">
        <f>IF('[1]MES 생산성분석'!Q47="", "", '[1]MES 생산성분석'!Q47)</f>
        <v/>
      </c>
    </row>
    <row r="41" spans="1:15" ht="20.100000000000001" customHeight="1" x14ac:dyDescent="0.15">
      <c r="A41" s="27" t="str">
        <f>'[1]MES 생산성분석'!A48</f>
        <v>49호기 - ARBURG 300T</v>
      </c>
      <c r="B41" s="27" t="str">
        <f>'[1]MES 생산성분석'!C48</f>
        <v>iMEB2 ECU HOUSING (필터융착)</v>
      </c>
      <c r="C41" s="28">
        <f>'[1]MES 생산성분석'!D48</f>
        <v>3360</v>
      </c>
      <c r="D41" s="29">
        <f>'[1]MES 생산성분석'!E48</f>
        <v>13</v>
      </c>
      <c r="E41" s="30">
        <f>'[1]MES 생산성분석'!F48</f>
        <v>3373</v>
      </c>
      <c r="F41" s="31">
        <f>'[1]MES 생산성분석'!G48</f>
        <v>24.094000000000001</v>
      </c>
      <c r="G41" s="32">
        <f>'[1]MES 생산성분석'!I48</f>
        <v>24.094000000000001</v>
      </c>
      <c r="H41" s="32">
        <f>'[1]MES 생산성분석'!J48</f>
        <v>0</v>
      </c>
      <c r="I41" s="33">
        <f>'[1]MES 생산성분석'!K48</f>
        <v>22.486000000000001</v>
      </c>
      <c r="J41" s="34">
        <f>IFERROR('[1]MES 생산성분석'!L48,"")</f>
        <v>0.99614586421583162</v>
      </c>
      <c r="K41" s="35">
        <f>IFERROR('[1]MES 생산성분석'!M48,"")</f>
        <v>0.93326139287789489</v>
      </c>
      <c r="L41" s="36">
        <f>IFERROR('[1]MES 생산성분석'!N48,"")</f>
        <v>1</v>
      </c>
      <c r="M41" s="37">
        <f>IFERROR('[1]MES 생산성분석'!O48,"")</f>
        <v>0.92966447674762143</v>
      </c>
      <c r="N41" s="37">
        <f>IFERROR('[1]MES 생산성분석'!P48,"")</f>
        <v>0.84</v>
      </c>
      <c r="O41" s="38" t="str">
        <f>IF('[1]MES 생산성분석'!Q48="", "", '[1]MES 생산성분석'!Q48)</f>
        <v/>
      </c>
    </row>
    <row r="42" spans="1:15" ht="20.100000000000001" customHeight="1" x14ac:dyDescent="0.15">
      <c r="A42" s="27" t="str">
        <f>'[1]MES 생산성분석'!A49</f>
        <v>50호기 - 원일 200T</v>
      </c>
      <c r="B42" s="27" t="str">
        <f>'[1]MES 생산성분석'!C49</f>
        <v>MEB5 ESCi HOUSING (S)</v>
      </c>
      <c r="C42" s="28">
        <f>'[1]MES 생산성분석'!D49</f>
        <v>3337</v>
      </c>
      <c r="D42" s="29">
        <f>'[1]MES 생산성분석'!E49</f>
        <v>4</v>
      </c>
      <c r="E42" s="30">
        <f>'[1]MES 생산성분석'!F49</f>
        <v>3341</v>
      </c>
      <c r="F42" s="31">
        <f>'[1]MES 생산성분석'!G49</f>
        <v>23.956000000000003</v>
      </c>
      <c r="G42" s="32">
        <f>'[1]MES 생산성분석'!I49</f>
        <v>21.905000000000001</v>
      </c>
      <c r="H42" s="32">
        <f>'[1]MES 생산성분석'!J49</f>
        <v>2.0510000000000002</v>
      </c>
      <c r="I42" s="33">
        <f>'[1]MES 생산성분석'!K49</f>
        <v>19.024999999999999</v>
      </c>
      <c r="J42" s="34">
        <f>IFERROR('[1]MES 생산성분석'!L49,"")</f>
        <v>0.9988027536665669</v>
      </c>
      <c r="K42" s="35">
        <f>IFERROR('[1]MES 생산성분석'!M49,"")</f>
        <v>0.86852316822643216</v>
      </c>
      <c r="L42" s="36">
        <f>IFERROR('[1]MES 생산성분석'!N49,"")</f>
        <v>0.91438470529303717</v>
      </c>
      <c r="M42" s="37">
        <f>IFERROR('[1]MES 생산성분석'!O49,"")</f>
        <v>0.79321349092112337</v>
      </c>
      <c r="N42" s="37">
        <f>IFERROR('[1]MES 생산성분석'!P49,"")</f>
        <v>0.87</v>
      </c>
      <c r="O42" s="38" t="str">
        <f>IF('[1]MES 생산성분석'!Q49="", "", '[1]MES 생산성분석'!Q49)</f>
        <v>*주간 다관절로보트 완제품 안착부 충돌
→ 다관절로보트 위치 전 구간 재셋팅
*야간 Cav.1 모터핀 찍힘 및 Cav.2 모터핀 금형 내 삽입 이상
→ 다관절로보트 인서트 위치 조정
*야간 금형 에젝터 상승 이상. 에젝터 청소</v>
      </c>
    </row>
    <row r="43" spans="1:15" ht="20.100000000000001" customHeight="1" x14ac:dyDescent="0.15">
      <c r="A43" s="27" t="str">
        <f>'[1]MES 생산성분석'!A50</f>
        <v>51호기 - ARBURG 200T</v>
      </c>
      <c r="B43" s="27" t="str">
        <f>'[1]MES 생산성분석'!C50</f>
        <v>MEB5 HOUSING ESC (S)</v>
      </c>
      <c r="C43" s="28">
        <f>'[1]MES 생산성분석'!D50</f>
        <v>1841</v>
      </c>
      <c r="D43" s="29">
        <f>'[1]MES 생산성분석'!E50</f>
        <v>1</v>
      </c>
      <c r="E43" s="30">
        <f>'[1]MES 생산성분석'!F50</f>
        <v>1842</v>
      </c>
      <c r="F43" s="31">
        <f>'[1]MES 생산성분석'!G50</f>
        <v>13.387</v>
      </c>
      <c r="G43" s="32">
        <f>'[1]MES 생산성분석'!I50</f>
        <v>10.747</v>
      </c>
      <c r="H43" s="32">
        <f>'[1]MES 생산성분석'!J50</f>
        <v>2.6399999999999997</v>
      </c>
      <c r="I43" s="33">
        <f>'[1]MES 생산성분석'!K50</f>
        <v>10.744999999999999</v>
      </c>
      <c r="J43" s="34">
        <f>IFERROR('[1]MES 생산성분석'!L50,"")</f>
        <v>0.999457111834962</v>
      </c>
      <c r="K43" s="35">
        <f>IFERROR('[1]MES 생산성분석'!M50,"")</f>
        <v>0.99981390155392191</v>
      </c>
      <c r="L43" s="36">
        <f>IFERROR('[1]MES 생산성분석'!N50,"")</f>
        <v>0.80279375513557927</v>
      </c>
      <c r="M43" s="37">
        <f>IFERROR('[1]MES 생산성분석'!O50,"")</f>
        <v>0.80220861034336788</v>
      </c>
      <c r="N43" s="37">
        <f>IFERROR('[1]MES 생산성분석'!P50,"")</f>
        <v>0.87</v>
      </c>
      <c r="O43" s="38" t="str">
        <f>IF('[1]MES 생산성분석'!Q50="", "", '[1]MES 생산성분석'!Q50)</f>
        <v>*야간 금형 형폐 불가
→ 전일(4/1) 야간 가동간 12회 발생 이력
→ 수동모드 전환 후 형개폐 시도 시 압렵 전달 불가 확인
→ 사출기 측면 형체 벨브 센서 점검. 지속 발생
→ 설비보전팀 압력 비례제어벨브 교체. 지속 발생
→ 메인 펌프 이상 추정. 생산팀 설비 정지
→ 47호기 메인 펌프 탈거 후 51호기 이설 임시 적용 (4/3)</v>
      </c>
    </row>
    <row r="44" spans="1:15" ht="20.100000000000001" customHeight="1" x14ac:dyDescent="0.15">
      <c r="A44" s="27" t="str">
        <f>'[1]MES 생산성분석'!A51</f>
        <v>52호기 - ARBURG 160T</v>
      </c>
      <c r="B44" s="27" t="str">
        <f>'[1]MES 생산성분석'!C51</f>
        <v>IDB HOUSING MOLD</v>
      </c>
      <c r="C44" s="28">
        <f>'[1]MES 생산성분석'!D51</f>
        <v>2381</v>
      </c>
      <c r="D44" s="29">
        <f>'[1]MES 생산성분석'!E51</f>
        <v>1</v>
      </c>
      <c r="E44" s="30">
        <f>'[1]MES 생산성분석'!F51</f>
        <v>2382</v>
      </c>
      <c r="F44" s="31">
        <f>'[1]MES 생산성분석'!G51</f>
        <v>23.466000000000001</v>
      </c>
      <c r="G44" s="32">
        <f>'[1]MES 생산성분석'!I51</f>
        <v>23.466000000000001</v>
      </c>
      <c r="H44" s="32">
        <f>'[1]MES 생산성분석'!J51</f>
        <v>0</v>
      </c>
      <c r="I44" s="33">
        <f>'[1]MES 생산성분석'!K51</f>
        <v>22.497</v>
      </c>
      <c r="J44" s="34">
        <f>IFERROR('[1]MES 생산성분석'!L51,"")</f>
        <v>0.99958018471872379</v>
      </c>
      <c r="K44" s="35">
        <f>IFERROR('[1]MES 생산성분석'!M51,"")</f>
        <v>0.95870621324469441</v>
      </c>
      <c r="L44" s="36">
        <f>IFERROR('[1]MES 생산성분석'!N51,"")</f>
        <v>1</v>
      </c>
      <c r="M44" s="37">
        <f>IFERROR('[1]MES 생산성분석'!O51,"")</f>
        <v>0.95830373372611988</v>
      </c>
      <c r="N44" s="37">
        <f>IFERROR('[1]MES 생산성분석'!P51,"")</f>
        <v>0.85</v>
      </c>
      <c r="O44" s="38" t="str">
        <f>IF('[1]MES 생산성분석'!Q51="", "", '[1]MES 생산성분석'!Q51)</f>
        <v/>
      </c>
    </row>
    <row r="45" spans="1:15" ht="20.100000000000001" customHeight="1" x14ac:dyDescent="0.15">
      <c r="A45" s="39" t="str">
        <f>'[1]MES 생산성분석'!A52</f>
        <v>53호기 - 재피어 450T</v>
      </c>
      <c r="B45" s="39" t="e">
        <f>'[1]MES 생산성분석'!C52</f>
        <v>#N/A</v>
      </c>
      <c r="C45" s="40">
        <f>'[1]MES 생산성분석'!D52</f>
        <v>0</v>
      </c>
      <c r="D45" s="41">
        <f>'[1]MES 생산성분석'!E52</f>
        <v>0</v>
      </c>
      <c r="E45" s="42">
        <f>'[1]MES 생산성분석'!F52</f>
        <v>0</v>
      </c>
      <c r="F45" s="43">
        <f>'[1]MES 생산성분석'!G52</f>
        <v>0</v>
      </c>
      <c r="G45" s="44">
        <f>'[1]MES 생산성분석'!I52</f>
        <v>0</v>
      </c>
      <c r="H45" s="44">
        <f>'[1]MES 생산성분석'!J52</f>
        <v>0</v>
      </c>
      <c r="I45" s="45">
        <f>'[1]MES 생산성분석'!K52</f>
        <v>0</v>
      </c>
      <c r="J45" s="46" t="str">
        <f>IFERROR('[1]MES 생산성분석'!L52,"")</f>
        <v/>
      </c>
      <c r="K45" s="47" t="str">
        <f>IFERROR('[1]MES 생산성분석'!M52,"")</f>
        <v/>
      </c>
      <c r="L45" s="48" t="str">
        <f>IFERROR('[1]MES 생산성분석'!N52,"")</f>
        <v/>
      </c>
      <c r="M45" s="49" t="str">
        <f>IFERROR('[1]MES 생산성분석'!O52,"")</f>
        <v/>
      </c>
      <c r="N45" s="49">
        <f>IFERROR('[1]MES 생산성분석'!P52,"")</f>
        <v>0.85</v>
      </c>
      <c r="O45" s="50" t="str">
        <f>IF('[1]MES 생산성분석'!Q52="", "", '[1]MES 생산성분석'!Q52)</f>
        <v/>
      </c>
    </row>
    <row r="47" spans="1:15" ht="20.100000000000001" customHeight="1" x14ac:dyDescent="0.15">
      <c r="M47" s="51">
        <f>'[1]MES 생산성분석'!O6</f>
        <v>0.86739322614255687</v>
      </c>
    </row>
  </sheetData>
  <phoneticPr fontId="2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복사 시트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B01-16-019</dc:creator>
  <cp:lastModifiedBy>B01-16-019</cp:lastModifiedBy>
  <dcterms:created xsi:type="dcterms:W3CDTF">2026-04-03T07:02:57Z</dcterms:created>
  <dcterms:modified xsi:type="dcterms:W3CDTF">2026-04-03T07:03:09Z</dcterms:modified>
</cp:coreProperties>
</file>