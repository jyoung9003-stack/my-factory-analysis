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원본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<sst xmlns="http://schemas.openxmlformats.org/spreadsheetml/2006/main" count="119" uniqueCount="114">
  <si>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</si>
  <si>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</si>
  <si>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</si>
  <si>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</si>
  <si>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</si>
  <si>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</si>
  <si>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</si>
  <si>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</si>
  <si>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</si>
  <si>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</si>
  <si>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</si>
  <si>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</si>
  <si>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</si>
  <si>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</si>
  <si>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</si>
  <si>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</si>
  <si>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</si>
  <si>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</si>
  <si>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</si>
  <si>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</si>
  <si>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</si>
  <si>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</si>
  <si>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</si>
  <si>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</si>
  <si>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</si>
  <si>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*주간 금형 호스 파손으로 인한 누수. 호스 교체</t>
    <phoneticPr fontId="7" type="noConversion"/>
  </si>
  <si>
    <t>06호기 - 원일 150T</t>
  </si>
  <si>
    <t>08호기 - 원일 120T</t>
  </si>
  <si>
    <t>09호기 - 원일 150T</t>
  </si>
  <si>
    <t>*주간 퍼지 중 계량 시 스크류 회전 불가, 석백 사출시 노즐부 소음
→ 설비보전팀 점검</t>
    <phoneticPr fontId="7" type="noConversion"/>
  </si>
  <si>
    <t>10호기 - 원일 100T</t>
    <phoneticPr fontId="7" type="noConversion"/>
  </si>
  <si>
    <t>11호기 - 원일 100T</t>
  </si>
  <si>
    <t>12호기 - 원일 120T</t>
  </si>
  <si>
    <t>*야간 상측 #1 게이트 공타 중 수지 흐름으로 인한 고착
→ 고착 수지 제거 후 가동</t>
    <phoneticPr fontId="7" type="noConversion"/>
  </si>
  <si>
    <t>13호기 - MEW 150T</t>
    <phoneticPr fontId="7" type="noConversion"/>
  </si>
  <si>
    <t>14호기 - MEW 150T</t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</si>
  <si>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</si>
  <si>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</si>
  <si>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</si>
  <si>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</si>
  <si>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</si>
  <si>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*야간 비전 검사 투입 지그 제품 안착 불량. 안착 위치 재조정
*야간 비전 검사 배출 이송 지그 그리퍼 파손. 그리퍼 교체
*야간 Cav.42 금형 눌림으로 인한 제품 Burr. 
→ 금형 점검 요청 및 1Mold 가동
*야간 Cav.57, 69 Burr. 슬라이드코어 청소, 하트온도 조정 후 가동</t>
    <phoneticPr fontId="7" type="noConversion"/>
  </si>
  <si>
    <t>A동 SUB TOTAL</t>
    <phoneticPr fontId="7" type="noConversion"/>
  </si>
  <si>
    <t>22호기 - ARBURG 200T</t>
    <phoneticPr fontId="7" type="noConversion"/>
  </si>
  <si>
    <t>*야간 금형거리로 인한 에젝터 전진 알람
→ 에젝터 및 형개거리 조정</t>
    <phoneticPr fontId="7" type="noConversion"/>
  </si>
  <si>
    <t>23호기 - ARBURG 200T</t>
  </si>
  <si>
    <t>24호기 - 우진 220T</t>
  </si>
  <si>
    <t>25호기 - 우진 220T</t>
  </si>
  <si>
    <t>26호기 - 우진 220T</t>
  </si>
  <si>
    <t>27호기 - 우진 220T</t>
  </si>
  <si>
    <t>*야간 리크테스트기 Cav.12 부쉬 검사부 NG 판정
→ 프로브 핀 텐션 저하로 인한 인식 불가. 프로브 핀 교체</t>
    <phoneticPr fontId="7" type="noConversion"/>
  </si>
  <si>
    <t>28호기 - 우진 150T</t>
  </si>
  <si>
    <t>29호기 - 우진 150T</t>
  </si>
  <si>
    <t>*주간 Cav.1 미성형
→ 벨브핀 작동 이상. 하트 #7 승온 불가. 설비 정지
→ 상측 금형 하차 후 수리 요청</t>
    <phoneticPr fontId="7" type="noConversion"/>
  </si>
  <si>
    <t>30호기 - 우진 150T</t>
  </si>
  <si>
    <t>32호기 - ARBURG 100T</t>
  </si>
  <si>
    <t>33호기 - ARBURG 100T</t>
  </si>
  <si>
    <t>*주간 로보트 금형 내 핀 인서트 후 형폐 불가
→ 에젝터 후진 신호 이상. 에젝터 후진 원점 재설정
*주간 로보트 핀 인서트 알람
→ 로보트 푸셔부 볼트 이탈로 인한 푸셔 전진시 흔들림
→ 볼트 재체결</t>
    <phoneticPr fontId="7" type="noConversion"/>
  </si>
  <si>
    <t>35호기 - ARBURG 100T (자동)</t>
  </si>
  <si>
    <t>36호기 - ZHAFIR 120T</t>
    <phoneticPr fontId="7" type="noConversion"/>
  </si>
  <si>
    <t>37호기 - ARBURG 100T (자동)</t>
  </si>
  <si>
    <t>*주간 Cav.14 와인딩 홈 부 파팅 Burr. 금형 점검</t>
    <phoneticPr fontId="7" type="noConversion"/>
  </si>
  <si>
    <t>38호기 - ARBURG 100T (자동)</t>
  </si>
  <si>
    <t>*주간 시업 중 제품 고착. 금형 점검
*주간 공급부 로보트 자재 취출 불량. 안착 및 취출 위치 조정</t>
    <phoneticPr fontId="7" type="noConversion"/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</si>
  <si>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</si>
  <si>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</si>
  <si>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</si>
  <si>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</si>
  <si>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</si>
  <si>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</si>
  <si>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</si>
  <si>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</si>
  <si>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</si>
  <si>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*주간 Cav.4 인서트 알람 다수 발생
→ 로보트 핀 취출 및 인서트 위치 조정
*주간 핀 공급부 배열판 핀 취출 미스
→ 핀 취출 위치 재조정</t>
    <phoneticPr fontId="7" type="noConversion"/>
  </si>
  <si>
    <t>47호기 - ARBURG 200T</t>
    <phoneticPr fontId="7" type="noConversion"/>
  </si>
  <si>
    <t>48호기 - 원일 200T</t>
    <phoneticPr fontId="7" type="noConversion"/>
  </si>
  <si>
    <t>*주간 S/P 누락 (2회). 핀 취출 및 인서트 위치 조정</t>
    <phoneticPr fontId="7" type="noConversion"/>
  </si>
  <si>
    <t>49호기 - ARBURG 300T</t>
    <phoneticPr fontId="7" type="noConversion"/>
  </si>
  <si>
    <r>
      <t xml:space="preserve">*주간 연속생산 중 금형보호 및 로보트 비상정지 알람
→ 알람 발생 후 모터 전원 Off
→ 금형 내 상측 런너 눌림. 4/3, 4/7 동증상
→ 재부팅 후 승온 및 가동. 해당 증상 발생 시 전 설비 원점 후
</t>
    </r>
    <r>
      <rPr>
        <sz val="10"/>
        <color theme="0"/>
        <rFont val="맑은 고딕"/>
        <family val="3"/>
        <charset val="129"/>
        <scheme val="major"/>
      </rPr>
      <t xml:space="preserve">→ </t>
    </r>
    <r>
      <rPr>
        <sz val="10"/>
        <color theme="1"/>
        <rFont val="맑은 고딕"/>
        <family val="3"/>
        <charset val="129"/>
        <scheme val="major"/>
      </rPr>
      <t>퍼지, 공타 진행 등 재가동간 Loss 발생. 근본 개선 필요
*야간 가동중 금형 내 런너 끼임 (1회)
*야간 280P/P 클램프 작동 이상 및 핀 누락 (2회)
→ 점검 중 프레스 펀치 파손, 파이롯트 핀 마모 확인
→ 프레스 펀치 및 파이롯트 핀 교체</t>
    </r>
    <phoneticPr fontId="7" type="noConversion"/>
  </si>
  <si>
    <t>50호기 - 원일 200T</t>
  </si>
  <si>
    <t>*야간 핀 코어 푸셔 하강 알람. 다관절로보트 인서트 위치 조정</t>
    <phoneticPr fontId="7" type="noConversion"/>
  </si>
  <si>
    <t>51호기 - ARBURG 200T</t>
  </si>
  <si>
    <t>52호기 - ARBURG 160T</t>
  </si>
  <si>
    <t>53호기 - 재피어 450T</t>
    <phoneticPr fontId="7" type="noConversion"/>
  </si>
  <si>
    <t>C동/D동 SUB TOTAL</t>
    <phoneticPr fontId="7" type="noConversion"/>
  </si>
  <si>
    <t xml:space="preserve"> </t>
    <phoneticPr fontId="7" type="noConversion"/>
  </si>
  <si>
    <t>GEN4 INTAKE LH</t>
  </si>
  <si>
    <t>후륜8속 M3 PREMOLD ASS'Y</t>
  </si>
  <si>
    <t>ROTOR OS SLEEVE</t>
  </si>
  <si>
    <t>TAS GEN2.0 ROTOR IS</t>
  </si>
  <si>
    <t>KEV3 DRIVE_P 14.5옴 (9144060737)</t>
  </si>
  <si>
    <t>KEV1 DRIVE 20.5Ω(9144060009)</t>
  </si>
  <si>
    <t>LINK OVER MOLD</t>
  </si>
  <si>
    <t>KEV BOBBIN ASSY_PPS(9144060689)</t>
  </si>
  <si>
    <t>600H M/CORE COVER L.V</t>
  </si>
  <si>
    <t>TAS GEN2.0 HOUSING</t>
  </si>
  <si>
    <t>700G 1차 SPOOL (KOPLA)</t>
  </si>
  <si>
    <t>MEB5 ESC COVER</t>
  </si>
  <si>
    <t>500C 외부 CASE (KOPLA)</t>
  </si>
  <si>
    <t>600C 외부 CASE (KOPLA)</t>
  </si>
  <si>
    <t>iMEB2 BOBBIN OV</t>
  </si>
  <si>
    <t>PLUG TOP 2차 SPOOL</t>
  </si>
  <si>
    <t>iMEB2 BOBBIN IV</t>
  </si>
  <si>
    <t>MEB5 BOBBIN OV</t>
  </si>
  <si>
    <t>LK EV CMU COVER</t>
  </si>
  <si>
    <t>MEB5 BOBBIN IV</t>
  </si>
  <si>
    <t>ETC BRUSH HOLDER</t>
  </si>
  <si>
    <t>KEV3 COVER QC_P (9144060696)</t>
  </si>
  <si>
    <t>KEV3 COVER 3.5 LN (9144060345)</t>
  </si>
  <si>
    <t>ADAPTOR AIRTUBE</t>
  </si>
  <si>
    <t>SRR 30 HOUSING ASSY (MASTER)</t>
  </si>
  <si>
    <t>MEB5 ESCi HOUSING (S)</t>
  </si>
  <si>
    <t>iMEB2.1 ECU HOUSING (필터융착)</t>
  </si>
  <si>
    <t>MEB5 HOUSING ESC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</si>
</sst>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4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2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2" fillId="4" borderId="10" xfId="3" applyFont="1" applyFill="1" applyBorder="1" applyAlignment="1">
      <alignment horizontal="center" vertical="center" shrinkToFit="1"/>
    </xf>
    <xf numFmtId="41" fontId="32" fillId="4" borderId="19" xfId="4" applyFont="1" applyFill="1" applyBorder="1">
      <alignment vertical="center"/>
    </xf>
    <xf numFmtId="41" fontId="32" fillId="4" borderId="20" xfId="4" applyFont="1" applyFill="1" applyBorder="1">
      <alignment vertical="center"/>
    </xf>
    <xf numFmtId="41" fontId="32" fillId="4" borderId="21" xfId="4" applyFont="1" applyFill="1" applyBorder="1">
      <alignment vertical="center"/>
    </xf>
    <xf numFmtId="182" fontId="32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2" fillId="4" borderId="20" xfId="4" applyNumberFormat="1" applyFont="1" applyFill="1" applyBorder="1">
      <alignment vertical="center"/>
    </xf>
    <xf numFmtId="182" fontId="32" fillId="4" borderId="21" xfId="4" applyNumberFormat="1" applyFont="1" applyFill="1" applyBorder="1">
      <alignment vertical="center"/>
    </xf>
    <xf numFmtId="183" fontId="33" fillId="4" borderId="22" xfId="5" applyNumberFormat="1" applyFont="1" applyFill="1" applyBorder="1" applyAlignment="1">
      <alignment horizontal="center" vertical="center"/>
    </xf>
    <xf numFmtId="183" fontId="32" fillId="4" borderId="20" xfId="5" applyNumberFormat="1" applyFont="1" applyFill="1" applyBorder="1" applyAlignment="1">
      <alignment horizontal="center" vertical="center" wrapText="1"/>
    </xf>
    <xf numFmtId="183" fontId="32" fillId="4" borderId="23" xfId="5" applyNumberFormat="1" applyFont="1" applyFill="1" applyBorder="1" applyAlignment="1">
      <alignment horizontal="center" vertical="center" wrapText="1"/>
    </xf>
    <xf numFmtId="183" fontId="32" fillId="4" borderId="98" xfId="5" applyNumberFormat="1" applyFont="1" applyFill="1" applyBorder="1" applyAlignment="1">
      <alignment horizontal="center" vertical="center" wrapText="1"/>
    </xf>
    <xf numFmtId="183" fontId="32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보고서(최종)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60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V20" sqref="V20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hidden="1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46121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2.4632602790606542E-2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310274</v>
      </c>
      <c r="E6" s="58">
        <v>189</v>
      </c>
      <c r="F6" s="59">
        <v>310463</v>
      </c>
      <c r="G6" s="60">
        <v>490.00100000000009</v>
      </c>
      <c r="H6" s="61">
        <v>12.069999999999999</v>
      </c>
      <c r="I6" s="62">
        <v>465.779</v>
      </c>
      <c r="J6" s="62">
        <v>24.221999999999998</v>
      </c>
      <c r="K6" s="63">
        <v>413.20699999999999</v>
      </c>
      <c r="L6" s="64">
        <v>0.99939123180540035</v>
      </c>
      <c r="M6" s="65">
        <v>0.88713102136420918</v>
      </c>
      <c r="N6" s="66">
        <v>0.95056744782153491</v>
      </c>
      <c r="O6" s="67">
        <v>0.84276451011449771</v>
      </c>
      <c r="P6" s="68">
        <v>0.86204545454545467</v>
      </c>
      <c r="Q6" s="69"/>
    </row>
    <row r="7" spans="1:17" ht="24.95" customHeight="1" x14ac:dyDescent="0.15">
      <c r="A7" s="70" t="s">
        <v>24</v>
      </c>
      <c r="B7" s="71">
        <v>432800282</v>
      </c>
      <c r="C7" s="72" t="s">
        <v>86</v>
      </c>
      <c r="D7" s="73">
        <v>1442</v>
      </c>
      <c r="E7" s="74">
        <v>0</v>
      </c>
      <c r="F7" s="75">
        <v>1442</v>
      </c>
      <c r="G7" s="76">
        <v>8.9710000000000001</v>
      </c>
      <c r="H7" s="77">
        <v>0.64500000000000002</v>
      </c>
      <c r="I7" s="78">
        <v>7.6140000000000008</v>
      </c>
      <c r="J7" s="78">
        <v>1.357</v>
      </c>
      <c r="K7" s="79">
        <v>7.6109999999999998</v>
      </c>
      <c r="L7" s="80">
        <v>1</v>
      </c>
      <c r="M7" s="81">
        <v>0.99960598896769093</v>
      </c>
      <c r="N7" s="82">
        <v>0.84873481217255609</v>
      </c>
      <c r="O7" s="83">
        <v>0.84840040129305538</v>
      </c>
      <c r="P7" s="84">
        <v>0.87</v>
      </c>
      <c r="Q7" s="85" t="s">
        <v>25</v>
      </c>
    </row>
    <row r="8" spans="1:17" ht="24.95" customHeight="1" x14ac:dyDescent="0.15">
      <c r="A8" s="86" t="s">
        <v>26</v>
      </c>
      <c r="B8" s="87" t="e">
        <v>#N/A</v>
      </c>
      <c r="C8" s="88" t="e">
        <v>#N/A</v>
      </c>
      <c r="D8" s="89">
        <v>0</v>
      </c>
      <c r="E8" s="90">
        <v>0</v>
      </c>
      <c r="F8" s="91">
        <v>0</v>
      </c>
      <c r="G8" s="92">
        <v>0</v>
      </c>
      <c r="H8" s="93"/>
      <c r="I8" s="94">
        <v>0</v>
      </c>
      <c r="J8" s="94">
        <v>0</v>
      </c>
      <c r="K8" s="95">
        <v>0</v>
      </c>
      <c r="L8" s="96" t="e">
        <v>#DIV/0!</v>
      </c>
      <c r="M8" s="97" t="e">
        <v>#DIV/0!</v>
      </c>
      <c r="N8" s="98" t="e">
        <v>#DIV/0!</v>
      </c>
      <c r="O8" s="99" t="e">
        <v>#DIV/0!</v>
      </c>
      <c r="P8" s="100">
        <v>0.87</v>
      </c>
      <c r="Q8" s="101"/>
    </row>
    <row r="9" spans="1:17" ht="24.95" customHeight="1" x14ac:dyDescent="0.15">
      <c r="A9" s="86" t="s">
        <v>27</v>
      </c>
      <c r="B9" s="87" t="e">
        <v>#N/A</v>
      </c>
      <c r="C9" s="88" t="e">
        <v>#N/A</v>
      </c>
      <c r="D9" s="89">
        <v>0</v>
      </c>
      <c r="E9" s="90">
        <v>0</v>
      </c>
      <c r="F9" s="91">
        <v>0</v>
      </c>
      <c r="G9" s="92">
        <v>0</v>
      </c>
      <c r="H9" s="93"/>
      <c r="I9" s="94">
        <v>0</v>
      </c>
      <c r="J9" s="94">
        <v>0</v>
      </c>
      <c r="K9" s="95">
        <v>0</v>
      </c>
      <c r="L9" s="96" t="e">
        <v>#DIV/0!</v>
      </c>
      <c r="M9" s="97" t="e">
        <v>#DIV/0!</v>
      </c>
      <c r="N9" s="98" t="e">
        <v>#DIV/0!</v>
      </c>
      <c r="O9" s="99" t="e">
        <v>#DIV/0!</v>
      </c>
      <c r="P9" s="100">
        <v>0.85</v>
      </c>
      <c r="Q9" s="102"/>
    </row>
    <row r="10" spans="1:17" ht="39.950000000000003" customHeight="1" x14ac:dyDescent="0.15">
      <c r="A10" s="86" t="s">
        <v>28</v>
      </c>
      <c r="B10" s="87">
        <v>522100299</v>
      </c>
      <c r="C10" s="88" t="s">
        <v>87</v>
      </c>
      <c r="D10" s="89">
        <v>3100</v>
      </c>
      <c r="E10" s="90">
        <v>0</v>
      </c>
      <c r="F10" s="91">
        <v>3100</v>
      </c>
      <c r="G10" s="92">
        <v>16.564</v>
      </c>
      <c r="H10" s="93"/>
      <c r="I10" s="94">
        <v>15.738</v>
      </c>
      <c r="J10" s="94">
        <v>0.82599999999999996</v>
      </c>
      <c r="K10" s="95">
        <v>13.347000000000001</v>
      </c>
      <c r="L10" s="96">
        <v>1</v>
      </c>
      <c r="M10" s="97">
        <v>0.84807472359893266</v>
      </c>
      <c r="N10" s="98">
        <v>0.95013281815986472</v>
      </c>
      <c r="O10" s="99">
        <v>0.80578362714320217</v>
      </c>
      <c r="P10" s="100">
        <v>0.83</v>
      </c>
      <c r="Q10" s="102" t="s">
        <v>29</v>
      </c>
    </row>
    <row r="11" spans="1:17" ht="24.95" customHeight="1" x14ac:dyDescent="0.15">
      <c r="A11" s="86" t="s">
        <v>30</v>
      </c>
      <c r="B11" s="87">
        <v>422500012</v>
      </c>
      <c r="C11" s="88" t="s">
        <v>88</v>
      </c>
      <c r="D11" s="89">
        <v>2400</v>
      </c>
      <c r="E11" s="90">
        <v>4</v>
      </c>
      <c r="F11" s="91">
        <v>2404</v>
      </c>
      <c r="G11" s="92">
        <v>5.6</v>
      </c>
      <c r="H11" s="93"/>
      <c r="I11" s="94">
        <v>5.4329999999999998</v>
      </c>
      <c r="J11" s="94">
        <v>0.16700000000000001</v>
      </c>
      <c r="K11" s="95">
        <v>4.0069999999999997</v>
      </c>
      <c r="L11" s="96">
        <v>0.99833610648918469</v>
      </c>
      <c r="M11" s="97">
        <v>0.73752990981041777</v>
      </c>
      <c r="N11" s="98">
        <v>0.97017857142857145</v>
      </c>
      <c r="O11" s="99">
        <v>0.71434513905395769</v>
      </c>
      <c r="P11" s="100">
        <v>0.85</v>
      </c>
      <c r="Q11" s="102"/>
    </row>
    <row r="12" spans="1:17" ht="24.95" customHeight="1" x14ac:dyDescent="0.15">
      <c r="A12" s="86" t="s">
        <v>31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39.950000000000003" customHeight="1" x14ac:dyDescent="0.15">
      <c r="A13" s="86" t="s">
        <v>32</v>
      </c>
      <c r="B13" s="87">
        <v>543400006</v>
      </c>
      <c r="C13" s="88" t="s">
        <v>89</v>
      </c>
      <c r="D13" s="89">
        <v>2600</v>
      </c>
      <c r="E13" s="90">
        <v>0</v>
      </c>
      <c r="F13" s="91">
        <v>2600</v>
      </c>
      <c r="G13" s="92">
        <v>10.341999999999999</v>
      </c>
      <c r="H13" s="93"/>
      <c r="I13" s="94">
        <v>8.0619999999999994</v>
      </c>
      <c r="J13" s="94">
        <v>2.2799999999999998</v>
      </c>
      <c r="K13" s="95">
        <v>6.6440000000000001</v>
      </c>
      <c r="L13" s="96">
        <v>1</v>
      </c>
      <c r="M13" s="97">
        <v>0.82411312329446795</v>
      </c>
      <c r="N13" s="98">
        <v>0.77953974086250244</v>
      </c>
      <c r="O13" s="99">
        <v>0.64242893057435702</v>
      </c>
      <c r="P13" s="100">
        <v>0.83</v>
      </c>
      <c r="Q13" s="102" t="s">
        <v>33</v>
      </c>
    </row>
    <row r="14" spans="1:17" ht="24.95" customHeight="1" x14ac:dyDescent="0.15">
      <c r="A14" s="86" t="s">
        <v>34</v>
      </c>
      <c r="B14" s="87" t="e">
        <v>#N/A</v>
      </c>
      <c r="C14" s="88" t="e">
        <v>#N/A</v>
      </c>
      <c r="D14" s="89">
        <v>0</v>
      </c>
      <c r="E14" s="90">
        <v>0</v>
      </c>
      <c r="F14" s="91">
        <v>0</v>
      </c>
      <c r="G14" s="92">
        <v>0</v>
      </c>
      <c r="H14" s="93"/>
      <c r="I14" s="94">
        <v>0</v>
      </c>
      <c r="J14" s="94">
        <v>0</v>
      </c>
      <c r="K14" s="95">
        <v>0</v>
      </c>
      <c r="L14" s="96" t="e">
        <v>#DIV/0!</v>
      </c>
      <c r="M14" s="97" t="e">
        <v>#DIV/0!</v>
      </c>
      <c r="N14" s="98" t="e">
        <v>#DIV/0!</v>
      </c>
      <c r="O14" s="99" t="e">
        <v>#DIV/0!</v>
      </c>
      <c r="P14" s="100">
        <v>0.84</v>
      </c>
      <c r="Q14" s="103"/>
    </row>
    <row r="15" spans="1:17" ht="24.95" customHeight="1" x14ac:dyDescent="0.15">
      <c r="A15" s="86" t="s">
        <v>35</v>
      </c>
      <c r="B15" s="87">
        <v>423100392</v>
      </c>
      <c r="C15" s="88" t="s">
        <v>90</v>
      </c>
      <c r="D15" s="89">
        <v>10380</v>
      </c>
      <c r="E15" s="90">
        <v>0</v>
      </c>
      <c r="F15" s="91">
        <v>10380</v>
      </c>
      <c r="G15" s="92">
        <v>20.348999999999997</v>
      </c>
      <c r="H15" s="93"/>
      <c r="I15" s="94">
        <v>19.979999999999997</v>
      </c>
      <c r="J15" s="94">
        <v>0.36899999999999999</v>
      </c>
      <c r="K15" s="95">
        <v>16.722999999999999</v>
      </c>
      <c r="L15" s="96">
        <v>1</v>
      </c>
      <c r="M15" s="97">
        <v>0.83698698698698704</v>
      </c>
      <c r="N15" s="98">
        <v>0.98186643078283942</v>
      </c>
      <c r="O15" s="99">
        <v>0.82180942552459579</v>
      </c>
      <c r="P15" s="100">
        <v>0.84</v>
      </c>
      <c r="Q15" s="103"/>
    </row>
    <row r="16" spans="1:17" ht="24.95" customHeight="1" x14ac:dyDescent="0.15">
      <c r="A16" s="86" t="s">
        <v>36</v>
      </c>
      <c r="B16" s="87">
        <v>423100105</v>
      </c>
      <c r="C16" s="88" t="s">
        <v>91</v>
      </c>
      <c r="D16" s="89">
        <v>10260</v>
      </c>
      <c r="E16" s="90">
        <v>0</v>
      </c>
      <c r="F16" s="91">
        <v>10260</v>
      </c>
      <c r="G16" s="92">
        <v>20.754000000000001</v>
      </c>
      <c r="H16" s="93"/>
      <c r="I16" s="94">
        <v>20.754000000000001</v>
      </c>
      <c r="J16" s="94">
        <v>0</v>
      </c>
      <c r="K16" s="95">
        <v>17.100000000000001</v>
      </c>
      <c r="L16" s="96">
        <v>1</v>
      </c>
      <c r="M16" s="97">
        <v>0.82393755420641801</v>
      </c>
      <c r="N16" s="98">
        <v>1</v>
      </c>
      <c r="O16" s="99">
        <v>0.82393755420641801</v>
      </c>
      <c r="P16" s="100">
        <v>0.84</v>
      </c>
      <c r="Q16" s="103"/>
    </row>
    <row r="17" spans="1:17" ht="24.95" customHeight="1" x14ac:dyDescent="0.15">
      <c r="A17" s="86" t="s">
        <v>37</v>
      </c>
      <c r="B17" s="87">
        <v>522100772</v>
      </c>
      <c r="C17" s="88" t="s">
        <v>92</v>
      </c>
      <c r="D17" s="89">
        <v>8180</v>
      </c>
      <c r="E17" s="90">
        <v>0</v>
      </c>
      <c r="F17" s="91">
        <v>8180</v>
      </c>
      <c r="G17" s="92">
        <v>24</v>
      </c>
      <c r="H17" s="93"/>
      <c r="I17" s="94">
        <v>24</v>
      </c>
      <c r="J17" s="94">
        <v>0</v>
      </c>
      <c r="K17" s="95">
        <v>20.45</v>
      </c>
      <c r="L17" s="96">
        <v>1</v>
      </c>
      <c r="M17" s="97">
        <v>0.8520833333333333</v>
      </c>
      <c r="N17" s="98">
        <v>1</v>
      </c>
      <c r="O17" s="99">
        <v>0.8520833333333333</v>
      </c>
      <c r="P17" s="100">
        <v>0.86</v>
      </c>
      <c r="Q17" s="104"/>
    </row>
    <row r="18" spans="1:17" ht="24.95" customHeight="1" x14ac:dyDescent="0.15">
      <c r="A18" s="86" t="s">
        <v>38</v>
      </c>
      <c r="B18" s="87" t="e">
        <v>#N/A</v>
      </c>
      <c r="C18" s="88" t="e">
        <v>#N/A</v>
      </c>
      <c r="D18" s="89">
        <v>0</v>
      </c>
      <c r="E18" s="90">
        <v>0</v>
      </c>
      <c r="F18" s="91">
        <v>0</v>
      </c>
      <c r="G18" s="92">
        <v>0</v>
      </c>
      <c r="H18" s="93"/>
      <c r="I18" s="94">
        <v>0</v>
      </c>
      <c r="J18" s="94">
        <v>0</v>
      </c>
      <c r="K18" s="95">
        <v>0</v>
      </c>
      <c r="L18" s="96" t="e">
        <v>#DIV/0!</v>
      </c>
      <c r="M18" s="97" t="e">
        <v>#DIV/0!</v>
      </c>
      <c r="N18" s="98" t="e">
        <v>#DIV/0!</v>
      </c>
      <c r="O18" s="99" t="e">
        <v>#DIV/0!</v>
      </c>
      <c r="P18" s="100">
        <v>0.87</v>
      </c>
      <c r="Q18" s="102"/>
    </row>
    <row r="19" spans="1:17" ht="24.95" customHeight="1" x14ac:dyDescent="0.15">
      <c r="A19" s="86" t="s">
        <v>39</v>
      </c>
      <c r="B19" s="87">
        <v>422700533</v>
      </c>
      <c r="C19" s="88" t="s">
        <v>93</v>
      </c>
      <c r="D19" s="89">
        <v>23608</v>
      </c>
      <c r="E19" s="90">
        <v>0</v>
      </c>
      <c r="F19" s="91">
        <v>23608</v>
      </c>
      <c r="G19" s="92">
        <v>24.004000000000001</v>
      </c>
      <c r="H19" s="93"/>
      <c r="I19" s="94">
        <v>24.004000000000001</v>
      </c>
      <c r="J19" s="94">
        <v>0</v>
      </c>
      <c r="K19" s="95">
        <v>18.362000000000002</v>
      </c>
      <c r="L19" s="96">
        <v>1</v>
      </c>
      <c r="M19" s="97">
        <v>0.76495584069321787</v>
      </c>
      <c r="N19" s="98">
        <v>1</v>
      </c>
      <c r="O19" s="99">
        <v>0.76495584069321787</v>
      </c>
      <c r="P19" s="100">
        <v>0.85</v>
      </c>
      <c r="Q19" s="102"/>
    </row>
    <row r="20" spans="1:17" ht="84.95" customHeight="1" x14ac:dyDescent="0.15">
      <c r="A20" s="105" t="s">
        <v>40</v>
      </c>
      <c r="B20" s="106">
        <v>422000352</v>
      </c>
      <c r="C20" s="107" t="s">
        <v>94</v>
      </c>
      <c r="D20" s="108">
        <v>27840</v>
      </c>
      <c r="E20" s="109">
        <v>48</v>
      </c>
      <c r="F20" s="110">
        <v>27888</v>
      </c>
      <c r="G20" s="111">
        <v>16</v>
      </c>
      <c r="H20" s="112"/>
      <c r="I20" s="94">
        <v>13.439</v>
      </c>
      <c r="J20" s="113">
        <v>2.5609999999999999</v>
      </c>
      <c r="K20" s="95">
        <v>10.613</v>
      </c>
      <c r="L20" s="114">
        <v>0.99827882960413084</v>
      </c>
      <c r="M20" s="115">
        <v>0.78971649676315203</v>
      </c>
      <c r="N20" s="116">
        <v>0.8399375</v>
      </c>
      <c r="O20" s="117">
        <v>0.66217082616179013</v>
      </c>
      <c r="P20" s="118">
        <v>0.87</v>
      </c>
      <c r="Q20" s="119" t="s">
        <v>41</v>
      </c>
    </row>
    <row r="21" spans="1:17" s="135" customFormat="1" ht="24.95" customHeight="1" x14ac:dyDescent="0.15">
      <c r="A21" s="120" t="s">
        <v>42</v>
      </c>
      <c r="B21" s="121"/>
      <c r="C21" s="121"/>
      <c r="D21" s="122">
        <v>89810</v>
      </c>
      <c r="E21" s="123">
        <v>52</v>
      </c>
      <c r="F21" s="124">
        <v>89862</v>
      </c>
      <c r="G21" s="125">
        <v>146.584</v>
      </c>
      <c r="H21" s="126">
        <v>0.64500000000000002</v>
      </c>
      <c r="I21" s="127">
        <v>139.024</v>
      </c>
      <c r="J21" s="127">
        <v>7.5599999999999987</v>
      </c>
      <c r="K21" s="128">
        <v>114.857</v>
      </c>
      <c r="L21" s="129">
        <v>0.99942133493579044</v>
      </c>
      <c r="M21" s="130">
        <v>0.82616670502934741</v>
      </c>
      <c r="N21" s="131">
        <v>0.94842547617748185</v>
      </c>
      <c r="O21" s="132">
        <v>0.783104133239099</v>
      </c>
      <c r="P21" s="133">
        <v>0.85214285714285698</v>
      </c>
      <c r="Q21" s="134"/>
    </row>
    <row r="22" spans="1:17" ht="39.950000000000003" customHeight="1" x14ac:dyDescent="0.15">
      <c r="A22" s="136" t="s">
        <v>43</v>
      </c>
      <c r="B22" s="137">
        <v>421200252</v>
      </c>
      <c r="C22" s="138" t="s">
        <v>95</v>
      </c>
      <c r="D22" s="73">
        <v>4165</v>
      </c>
      <c r="E22" s="74">
        <v>0</v>
      </c>
      <c r="F22" s="75">
        <v>4165</v>
      </c>
      <c r="G22" s="139">
        <v>8.4160000000000004</v>
      </c>
      <c r="H22" s="140"/>
      <c r="I22" s="141">
        <v>7.6989999999999998</v>
      </c>
      <c r="J22" s="141">
        <v>0.71699999999999997</v>
      </c>
      <c r="K22" s="142">
        <v>6.3630000000000004</v>
      </c>
      <c r="L22" s="143">
        <v>1</v>
      </c>
      <c r="M22" s="144">
        <v>0.82647097025587746</v>
      </c>
      <c r="N22" s="145">
        <v>0.9148051330798479</v>
      </c>
      <c r="O22" s="146">
        <v>0.75605988593155904</v>
      </c>
      <c r="P22" s="147">
        <v>0.9</v>
      </c>
      <c r="Q22" s="148" t="s">
        <v>44</v>
      </c>
    </row>
    <row r="23" spans="1:17" ht="24.95" customHeight="1" x14ac:dyDescent="0.15">
      <c r="A23" s="136" t="s">
        <v>45</v>
      </c>
      <c r="B23" s="149" t="e">
        <v>#N/A</v>
      </c>
      <c r="C23" s="150" t="e">
        <v>#N/A</v>
      </c>
      <c r="D23" s="89">
        <v>0</v>
      </c>
      <c r="E23" s="90">
        <v>0</v>
      </c>
      <c r="F23" s="91">
        <v>0</v>
      </c>
      <c r="G23" s="151">
        <v>0</v>
      </c>
      <c r="H23" s="152"/>
      <c r="I23" s="153">
        <v>0</v>
      </c>
      <c r="J23" s="153">
        <v>0</v>
      </c>
      <c r="K23" s="154">
        <v>0</v>
      </c>
      <c r="L23" s="155" t="e">
        <v>#DIV/0!</v>
      </c>
      <c r="M23" s="156" t="e">
        <v>#DIV/0!</v>
      </c>
      <c r="N23" s="157" t="e">
        <v>#DIV/0!</v>
      </c>
      <c r="O23" s="158" t="e">
        <v>#DIV/0!</v>
      </c>
      <c r="P23" s="159">
        <v>0.9</v>
      </c>
      <c r="Q23" s="160"/>
    </row>
    <row r="24" spans="1:17" ht="24.95" customHeight="1" x14ac:dyDescent="0.15">
      <c r="A24" s="136" t="s">
        <v>46</v>
      </c>
      <c r="B24" s="149">
        <v>421200372</v>
      </c>
      <c r="C24" s="150" t="s">
        <v>96</v>
      </c>
      <c r="D24" s="89">
        <v>22851</v>
      </c>
      <c r="E24" s="90">
        <v>0</v>
      </c>
      <c r="F24" s="91">
        <v>22851</v>
      </c>
      <c r="G24" s="151">
        <v>20.201999999999998</v>
      </c>
      <c r="H24" s="152">
        <v>4.2</v>
      </c>
      <c r="I24" s="153">
        <v>19.809999999999999</v>
      </c>
      <c r="J24" s="153">
        <v>0.39200000000000002</v>
      </c>
      <c r="K24" s="154">
        <v>19.405999999999999</v>
      </c>
      <c r="L24" s="155">
        <v>1</v>
      </c>
      <c r="M24" s="156">
        <v>0.97960625946491675</v>
      </c>
      <c r="N24" s="157">
        <v>0.98059598059598063</v>
      </c>
      <c r="O24" s="158">
        <v>0.96059796059796065</v>
      </c>
      <c r="P24" s="159">
        <v>0.9</v>
      </c>
      <c r="Q24" s="160"/>
    </row>
    <row r="25" spans="1:17" ht="24.95" customHeight="1" x14ac:dyDescent="0.15">
      <c r="A25" s="136" t="s">
        <v>47</v>
      </c>
      <c r="B25" s="149">
        <v>521200182</v>
      </c>
      <c r="C25" s="150" t="s">
        <v>97</v>
      </c>
      <c r="D25" s="89">
        <v>9720</v>
      </c>
      <c r="E25" s="90">
        <v>18</v>
      </c>
      <c r="F25" s="91">
        <v>9738</v>
      </c>
      <c r="G25" s="151">
        <v>20.669999999999998</v>
      </c>
      <c r="H25" s="152"/>
      <c r="I25" s="153">
        <v>20.530999999999999</v>
      </c>
      <c r="J25" s="153">
        <v>0.13900000000000001</v>
      </c>
      <c r="K25" s="154">
        <v>19.746000000000002</v>
      </c>
      <c r="L25" s="155">
        <v>0.99815157116451014</v>
      </c>
      <c r="M25" s="156">
        <v>0.96176513564853161</v>
      </c>
      <c r="N25" s="157">
        <v>0.99327527818093864</v>
      </c>
      <c r="O25" s="158">
        <v>0.9535317331501898</v>
      </c>
      <c r="P25" s="159">
        <v>0.9</v>
      </c>
      <c r="Q25" s="161"/>
    </row>
    <row r="26" spans="1:17" ht="24.95" customHeight="1" x14ac:dyDescent="0.15">
      <c r="A26" s="136" t="s">
        <v>48</v>
      </c>
      <c r="B26" s="149">
        <v>522200732</v>
      </c>
      <c r="C26" s="150" t="s">
        <v>98</v>
      </c>
      <c r="D26" s="89">
        <v>388</v>
      </c>
      <c r="E26" s="90">
        <v>0</v>
      </c>
      <c r="F26" s="91">
        <v>388</v>
      </c>
      <c r="G26" s="151">
        <v>3</v>
      </c>
      <c r="H26" s="152"/>
      <c r="I26" s="153">
        <v>3</v>
      </c>
      <c r="J26" s="153">
        <v>0</v>
      </c>
      <c r="K26" s="154">
        <v>2.802</v>
      </c>
      <c r="L26" s="155">
        <v>1</v>
      </c>
      <c r="M26" s="156">
        <v>0.93400000000000005</v>
      </c>
      <c r="N26" s="157">
        <v>1</v>
      </c>
      <c r="O26" s="158">
        <v>0.93400000000000005</v>
      </c>
      <c r="P26" s="159">
        <v>0.85</v>
      </c>
      <c r="Q26" s="102"/>
    </row>
    <row r="27" spans="1:17" ht="39.950000000000003" customHeight="1" x14ac:dyDescent="0.15">
      <c r="A27" s="136" t="s">
        <v>49</v>
      </c>
      <c r="B27" s="149">
        <v>522107762</v>
      </c>
      <c r="C27" s="150" t="s">
        <v>99</v>
      </c>
      <c r="D27" s="89">
        <v>5100</v>
      </c>
      <c r="E27" s="90">
        <v>0</v>
      </c>
      <c r="F27" s="91">
        <v>5100</v>
      </c>
      <c r="G27" s="151">
        <v>10.331999999999999</v>
      </c>
      <c r="H27" s="152"/>
      <c r="I27" s="153">
        <v>9.94</v>
      </c>
      <c r="J27" s="153">
        <v>0.39200000000000002</v>
      </c>
      <c r="K27" s="154">
        <v>9.35</v>
      </c>
      <c r="L27" s="155">
        <v>1</v>
      </c>
      <c r="M27" s="156">
        <v>0.94064386317907445</v>
      </c>
      <c r="N27" s="157">
        <v>0.96205962059620598</v>
      </c>
      <c r="O27" s="158">
        <v>0.9049554781262098</v>
      </c>
      <c r="P27" s="159">
        <v>0.85</v>
      </c>
      <c r="Q27" s="161" t="s">
        <v>50</v>
      </c>
    </row>
    <row r="28" spans="1:17" s="19" customFormat="1" ht="24.95" customHeight="1" x14ac:dyDescent="0.15">
      <c r="A28" s="136" t="s">
        <v>51</v>
      </c>
      <c r="B28" s="149">
        <v>422108691</v>
      </c>
      <c r="C28" s="150" t="s">
        <v>100</v>
      </c>
      <c r="D28" s="89">
        <v>9800</v>
      </c>
      <c r="E28" s="90">
        <v>0</v>
      </c>
      <c r="F28" s="91">
        <v>9800</v>
      </c>
      <c r="G28" s="151">
        <v>8.468</v>
      </c>
      <c r="H28" s="152">
        <v>0.6</v>
      </c>
      <c r="I28" s="153">
        <v>8.2029999999999994</v>
      </c>
      <c r="J28" s="153">
        <v>0.26500000000000001</v>
      </c>
      <c r="K28" s="154">
        <v>8.1669999999999998</v>
      </c>
      <c r="L28" s="155">
        <v>1</v>
      </c>
      <c r="M28" s="156">
        <v>0.9956113616969402</v>
      </c>
      <c r="N28" s="157">
        <v>0.96870571563533292</v>
      </c>
      <c r="O28" s="158">
        <v>0.96445441662730269</v>
      </c>
      <c r="P28" s="159">
        <v>0.87</v>
      </c>
      <c r="Q28" s="160"/>
    </row>
    <row r="29" spans="1:17" ht="54.95" customHeight="1" x14ac:dyDescent="0.15">
      <c r="A29" s="136" t="s">
        <v>52</v>
      </c>
      <c r="B29" s="149">
        <v>521000003</v>
      </c>
      <c r="C29" s="150" t="s">
        <v>101</v>
      </c>
      <c r="D29" s="89">
        <v>5960</v>
      </c>
      <c r="E29" s="90">
        <v>0</v>
      </c>
      <c r="F29" s="91">
        <v>5960</v>
      </c>
      <c r="G29" s="151">
        <v>17.517000000000003</v>
      </c>
      <c r="H29" s="152">
        <v>1.175</v>
      </c>
      <c r="I29" s="153">
        <v>13.080000000000002</v>
      </c>
      <c r="J29" s="153">
        <v>4.4369999999999994</v>
      </c>
      <c r="K29" s="154">
        <v>13.077999999999999</v>
      </c>
      <c r="L29" s="155">
        <v>1</v>
      </c>
      <c r="M29" s="156">
        <v>0.99984709480122302</v>
      </c>
      <c r="N29" s="157">
        <v>0.74670320260318546</v>
      </c>
      <c r="O29" s="158">
        <v>0.746589027801564</v>
      </c>
      <c r="P29" s="159">
        <v>0.9</v>
      </c>
      <c r="Q29" s="160" t="s">
        <v>53</v>
      </c>
    </row>
    <row r="30" spans="1:17" ht="24.95" customHeight="1" x14ac:dyDescent="0.15">
      <c r="A30" s="136" t="s">
        <v>54</v>
      </c>
      <c r="B30" s="149">
        <v>422108682</v>
      </c>
      <c r="C30" s="150" t="s">
        <v>102</v>
      </c>
      <c r="D30" s="89">
        <v>29500</v>
      </c>
      <c r="E30" s="90">
        <v>0</v>
      </c>
      <c r="F30" s="91">
        <v>29500</v>
      </c>
      <c r="G30" s="151">
        <v>25.500000000000004</v>
      </c>
      <c r="H30" s="152">
        <v>1.5</v>
      </c>
      <c r="I30" s="153">
        <v>25.179000000000002</v>
      </c>
      <c r="J30" s="153">
        <v>0.32100000000000001</v>
      </c>
      <c r="K30" s="154">
        <v>24.582999999999998</v>
      </c>
      <c r="L30" s="155">
        <v>1</v>
      </c>
      <c r="M30" s="156">
        <v>0.97632948091663674</v>
      </c>
      <c r="N30" s="157">
        <v>0.98741176470588232</v>
      </c>
      <c r="O30" s="158">
        <v>0.96403921568627438</v>
      </c>
      <c r="P30" s="159">
        <v>0.87</v>
      </c>
      <c r="Q30" s="160"/>
    </row>
    <row r="31" spans="1:17" ht="24.95" customHeight="1" x14ac:dyDescent="0.15">
      <c r="A31" s="136" t="s">
        <v>55</v>
      </c>
      <c r="B31" s="149">
        <v>422108611</v>
      </c>
      <c r="C31" s="150" t="s">
        <v>103</v>
      </c>
      <c r="D31" s="89">
        <v>39700</v>
      </c>
      <c r="E31" s="90">
        <v>32</v>
      </c>
      <c r="F31" s="91">
        <v>39732</v>
      </c>
      <c r="G31" s="151">
        <v>23.995999999999999</v>
      </c>
      <c r="H31" s="152"/>
      <c r="I31" s="153">
        <v>23.995999999999999</v>
      </c>
      <c r="J31" s="153">
        <v>0</v>
      </c>
      <c r="K31" s="154">
        <v>20.969000000000001</v>
      </c>
      <c r="L31" s="155">
        <v>0.99919460384576664</v>
      </c>
      <c r="M31" s="156">
        <v>0.87385397566261058</v>
      </c>
      <c r="N31" s="157">
        <v>1</v>
      </c>
      <c r="O31" s="158">
        <v>0.87315017703125042</v>
      </c>
      <c r="P31" s="159">
        <v>0.85</v>
      </c>
      <c r="Q31" s="160"/>
    </row>
    <row r="32" spans="1:17" ht="84.95" customHeight="1" x14ac:dyDescent="0.15">
      <c r="A32" s="136" t="s">
        <v>56</v>
      </c>
      <c r="B32" s="149">
        <v>422108611</v>
      </c>
      <c r="C32" s="150" t="s">
        <v>103</v>
      </c>
      <c r="D32" s="89">
        <v>28500</v>
      </c>
      <c r="E32" s="90">
        <v>51</v>
      </c>
      <c r="F32" s="91">
        <v>28551</v>
      </c>
      <c r="G32" s="151">
        <v>23.995999999999999</v>
      </c>
      <c r="H32" s="152"/>
      <c r="I32" s="153">
        <v>22.971</v>
      </c>
      <c r="J32" s="153">
        <v>1.0249999999999999</v>
      </c>
      <c r="K32" s="154">
        <v>15.068999999999999</v>
      </c>
      <c r="L32" s="155">
        <v>0.99821372281181042</v>
      </c>
      <c r="M32" s="156">
        <v>0.65600104479561183</v>
      </c>
      <c r="N32" s="157">
        <v>0.95728454742457081</v>
      </c>
      <c r="O32" s="158">
        <v>0.62685791753005382</v>
      </c>
      <c r="P32" s="159">
        <v>0.85</v>
      </c>
      <c r="Q32" s="160" t="s">
        <v>57</v>
      </c>
    </row>
    <row r="33" spans="1:17" ht="24.95" customHeight="1" x14ac:dyDescent="0.15">
      <c r="A33" s="136" t="s">
        <v>58</v>
      </c>
      <c r="B33" s="149">
        <v>522901112</v>
      </c>
      <c r="C33" s="150" t="s">
        <v>104</v>
      </c>
      <c r="D33" s="89">
        <v>936</v>
      </c>
      <c r="E33" s="90">
        <v>0</v>
      </c>
      <c r="F33" s="91">
        <v>936</v>
      </c>
      <c r="G33" s="151">
        <v>11.313000000000002</v>
      </c>
      <c r="H33" s="152">
        <v>0.05</v>
      </c>
      <c r="I33" s="153">
        <v>10.353000000000002</v>
      </c>
      <c r="J33" s="153">
        <v>0.96</v>
      </c>
      <c r="K33" s="154">
        <v>10.347999999999999</v>
      </c>
      <c r="L33" s="155">
        <v>1</v>
      </c>
      <c r="M33" s="156">
        <v>0.99951704819858955</v>
      </c>
      <c r="N33" s="157">
        <v>0.91514187218244492</v>
      </c>
      <c r="O33" s="158">
        <v>0.9146999027667283</v>
      </c>
      <c r="P33" s="159">
        <v>0.9</v>
      </c>
      <c r="Q33" s="160"/>
    </row>
    <row r="34" spans="1:17" ht="24.95" customHeight="1" x14ac:dyDescent="0.15">
      <c r="A34" s="136" t="s">
        <v>59</v>
      </c>
      <c r="B34" s="149" t="e">
        <v>#N/A</v>
      </c>
      <c r="C34" s="150" t="e">
        <v>#N/A</v>
      </c>
      <c r="D34" s="89">
        <v>0</v>
      </c>
      <c r="E34" s="90">
        <v>0</v>
      </c>
      <c r="F34" s="91">
        <v>0</v>
      </c>
      <c r="G34" s="151">
        <v>0</v>
      </c>
      <c r="H34" s="152"/>
      <c r="I34" s="153">
        <v>0</v>
      </c>
      <c r="J34" s="153">
        <v>0</v>
      </c>
      <c r="K34" s="154">
        <v>0</v>
      </c>
      <c r="L34" s="155" t="e">
        <v>#DIV/0!</v>
      </c>
      <c r="M34" s="156" t="e">
        <v>#DIV/0!</v>
      </c>
      <c r="N34" s="157" t="e">
        <v>#DIV/0!</v>
      </c>
      <c r="O34" s="158" t="e">
        <v>#DIV/0!</v>
      </c>
      <c r="P34" s="159">
        <v>0.87</v>
      </c>
      <c r="Q34" s="160"/>
    </row>
    <row r="35" spans="1:17" ht="24.95" customHeight="1" x14ac:dyDescent="0.15">
      <c r="A35" s="136" t="s">
        <v>60</v>
      </c>
      <c r="B35" s="149">
        <v>422108602</v>
      </c>
      <c r="C35" s="150" t="s">
        <v>105</v>
      </c>
      <c r="D35" s="89">
        <v>29408</v>
      </c>
      <c r="E35" s="90">
        <v>0</v>
      </c>
      <c r="F35" s="91">
        <v>29408</v>
      </c>
      <c r="G35" s="151">
        <v>17.61</v>
      </c>
      <c r="H35" s="152">
        <v>2.8</v>
      </c>
      <c r="I35" s="153">
        <v>15.530999999999999</v>
      </c>
      <c r="J35" s="153">
        <v>2.0790000000000002</v>
      </c>
      <c r="K35" s="154">
        <v>15.521000000000001</v>
      </c>
      <c r="L35" s="155">
        <v>1</v>
      </c>
      <c r="M35" s="156">
        <v>0.99935612645676397</v>
      </c>
      <c r="N35" s="157">
        <v>0.88194207836456551</v>
      </c>
      <c r="O35" s="158">
        <v>0.88137421919364001</v>
      </c>
      <c r="P35" s="159">
        <v>0.85</v>
      </c>
      <c r="Q35" s="160" t="s">
        <v>61</v>
      </c>
    </row>
    <row r="36" spans="1:17" ht="39.950000000000003" customHeight="1" x14ac:dyDescent="0.15">
      <c r="A36" s="136" t="s">
        <v>62</v>
      </c>
      <c r="B36" s="149">
        <v>522700008</v>
      </c>
      <c r="C36" s="150" t="s">
        <v>106</v>
      </c>
      <c r="D36" s="89">
        <v>5090</v>
      </c>
      <c r="E36" s="90">
        <v>0</v>
      </c>
      <c r="F36" s="91">
        <v>5090</v>
      </c>
      <c r="G36" s="151">
        <v>10.339</v>
      </c>
      <c r="H36" s="152"/>
      <c r="I36" s="153">
        <v>9.6829999999999998</v>
      </c>
      <c r="J36" s="153">
        <v>0.65600000000000003</v>
      </c>
      <c r="K36" s="154">
        <v>8.766</v>
      </c>
      <c r="L36" s="155">
        <v>1</v>
      </c>
      <c r="M36" s="156">
        <v>0.90529794485180215</v>
      </c>
      <c r="N36" s="157">
        <v>0.93655092368701032</v>
      </c>
      <c r="O36" s="158">
        <v>0.84785762646290741</v>
      </c>
      <c r="P36" s="159">
        <v>0.9</v>
      </c>
      <c r="Q36" s="160" t="s">
        <v>63</v>
      </c>
    </row>
    <row r="37" spans="1:17" ht="24.95" customHeight="1" x14ac:dyDescent="0.15">
      <c r="A37" s="136" t="s">
        <v>64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65</v>
      </c>
      <c r="B38" s="174"/>
      <c r="C38" s="174"/>
      <c r="D38" s="175">
        <v>191118</v>
      </c>
      <c r="E38" s="176">
        <v>101</v>
      </c>
      <c r="F38" s="177">
        <v>191219</v>
      </c>
      <c r="G38" s="178">
        <v>201.35900000000004</v>
      </c>
      <c r="H38" s="179">
        <v>10.324999999999999</v>
      </c>
      <c r="I38" s="180">
        <v>189.976</v>
      </c>
      <c r="J38" s="180">
        <v>11.383000000000001</v>
      </c>
      <c r="K38" s="181">
        <v>174.16799999999998</v>
      </c>
      <c r="L38" s="182">
        <v>0.99947180980969463</v>
      </c>
      <c r="M38" s="183">
        <v>0.91678948919863545</v>
      </c>
      <c r="N38" s="184">
        <v>0.94346912728013133</v>
      </c>
      <c r="O38" s="185">
        <v>0.86450571452448033</v>
      </c>
      <c r="P38" s="186">
        <v>0.87875000000000003</v>
      </c>
      <c r="Q38" s="187"/>
    </row>
    <row r="39" spans="1:17" ht="24.95" customHeight="1" x14ac:dyDescent="0.15">
      <c r="A39" s="188" t="s">
        <v>66</v>
      </c>
      <c r="B39" s="189">
        <v>422100193</v>
      </c>
      <c r="C39" s="190" t="s">
        <v>107</v>
      </c>
      <c r="D39" s="73">
        <v>5090</v>
      </c>
      <c r="E39" s="74">
        <v>0</v>
      </c>
      <c r="F39" s="75">
        <v>5090</v>
      </c>
      <c r="G39" s="191">
        <v>12</v>
      </c>
      <c r="H39" s="192"/>
      <c r="I39" s="193">
        <v>12</v>
      </c>
      <c r="J39" s="193">
        <v>0</v>
      </c>
      <c r="K39" s="194">
        <v>11.311</v>
      </c>
      <c r="L39" s="143">
        <v>1</v>
      </c>
      <c r="M39" s="144">
        <v>0.94258333333333333</v>
      </c>
      <c r="N39" s="145">
        <v>1</v>
      </c>
      <c r="O39" s="146">
        <v>0.94258333333333333</v>
      </c>
      <c r="P39" s="147">
        <v>0.87</v>
      </c>
      <c r="Q39" s="195"/>
    </row>
    <row r="40" spans="1:17" ht="24.95" customHeight="1" x14ac:dyDescent="0.15">
      <c r="A40" s="196" t="s">
        <v>67</v>
      </c>
      <c r="B40" s="197">
        <v>421000153</v>
      </c>
      <c r="C40" s="198" t="s">
        <v>108</v>
      </c>
      <c r="D40" s="89">
        <v>3640</v>
      </c>
      <c r="E40" s="90">
        <v>0</v>
      </c>
      <c r="F40" s="91">
        <v>3640</v>
      </c>
      <c r="G40" s="151">
        <v>12.81</v>
      </c>
      <c r="H40" s="152">
        <v>0.8</v>
      </c>
      <c r="I40" s="153">
        <v>12.81</v>
      </c>
      <c r="J40" s="153">
        <v>0</v>
      </c>
      <c r="K40" s="154">
        <v>12.234</v>
      </c>
      <c r="L40" s="155">
        <v>1</v>
      </c>
      <c r="M40" s="156">
        <v>0.95503512880562058</v>
      </c>
      <c r="N40" s="157">
        <v>1</v>
      </c>
      <c r="O40" s="158">
        <v>0.95503512880562058</v>
      </c>
      <c r="P40" s="159">
        <v>0.87</v>
      </c>
      <c r="Q40" s="199"/>
    </row>
    <row r="41" spans="1:17" ht="24.95" customHeight="1" x14ac:dyDescent="0.15">
      <c r="A41" s="196" t="s">
        <v>68</v>
      </c>
      <c r="B41" s="197">
        <v>422100193</v>
      </c>
      <c r="C41" s="198" t="s">
        <v>107</v>
      </c>
      <c r="D41" s="89">
        <v>4760</v>
      </c>
      <c r="E41" s="90">
        <v>0</v>
      </c>
      <c r="F41" s="91">
        <v>4760</v>
      </c>
      <c r="G41" s="151">
        <v>12</v>
      </c>
      <c r="H41" s="152"/>
      <c r="I41" s="153">
        <v>12</v>
      </c>
      <c r="J41" s="153">
        <v>0</v>
      </c>
      <c r="K41" s="154">
        <v>10.577999999999999</v>
      </c>
      <c r="L41" s="155">
        <v>1</v>
      </c>
      <c r="M41" s="156">
        <v>0.88149999999999995</v>
      </c>
      <c r="N41" s="157">
        <v>1</v>
      </c>
      <c r="O41" s="158">
        <v>0.88149999999999995</v>
      </c>
      <c r="P41" s="159">
        <v>0.87</v>
      </c>
      <c r="Q41" s="102"/>
    </row>
    <row r="42" spans="1:17" ht="24.95" customHeight="1" x14ac:dyDescent="0.15">
      <c r="A42" s="196" t="s">
        <v>69</v>
      </c>
      <c r="B42" s="197">
        <v>522100682</v>
      </c>
      <c r="C42" s="198" t="s">
        <v>109</v>
      </c>
      <c r="D42" s="89">
        <v>334</v>
      </c>
      <c r="E42" s="90">
        <v>4</v>
      </c>
      <c r="F42" s="91">
        <v>338</v>
      </c>
      <c r="G42" s="151">
        <v>6.8419999999999996</v>
      </c>
      <c r="H42" s="152">
        <v>0.3</v>
      </c>
      <c r="I42" s="153">
        <v>6.8419999999999996</v>
      </c>
      <c r="J42" s="153">
        <v>0</v>
      </c>
      <c r="K42" s="154">
        <v>6.5720000000000001</v>
      </c>
      <c r="L42" s="155">
        <v>0.98816568047337283</v>
      </c>
      <c r="M42" s="156">
        <v>0.96053785442852968</v>
      </c>
      <c r="N42" s="157">
        <v>1</v>
      </c>
      <c r="O42" s="158">
        <v>0.94917054254180155</v>
      </c>
      <c r="P42" s="159">
        <v>0.87</v>
      </c>
      <c r="Q42" s="199"/>
    </row>
    <row r="43" spans="1:17" ht="24.95" customHeight="1" x14ac:dyDescent="0.15">
      <c r="A43" s="196" t="s">
        <v>70</v>
      </c>
      <c r="B43" s="197" t="e">
        <v>#N/A</v>
      </c>
      <c r="C43" s="198" t="e">
        <v>#N/A</v>
      </c>
      <c r="D43" s="89">
        <v>0</v>
      </c>
      <c r="E43" s="90">
        <v>0</v>
      </c>
      <c r="F43" s="91">
        <v>0</v>
      </c>
      <c r="G43" s="151">
        <v>0</v>
      </c>
      <c r="H43" s="152"/>
      <c r="I43" s="153">
        <v>0</v>
      </c>
      <c r="J43" s="153">
        <v>0</v>
      </c>
      <c r="K43" s="154">
        <v>0</v>
      </c>
      <c r="L43" s="155" t="e">
        <v>#DIV/0!</v>
      </c>
      <c r="M43" s="156" t="e">
        <v>#DIV/0!</v>
      </c>
      <c r="N43" s="157" t="e">
        <v>#DIV/0!</v>
      </c>
      <c r="O43" s="158" t="e">
        <v>#DIV/0!</v>
      </c>
      <c r="P43" s="159">
        <v>0.87</v>
      </c>
      <c r="Q43" s="199"/>
    </row>
    <row r="44" spans="1:17" ht="24.95" customHeight="1" x14ac:dyDescent="0.15">
      <c r="A44" s="196" t="s">
        <v>71</v>
      </c>
      <c r="B44" s="197" t="e">
        <v>#N/A</v>
      </c>
      <c r="C44" s="198" t="e">
        <v>#N/A</v>
      </c>
      <c r="D44" s="89">
        <v>0</v>
      </c>
      <c r="E44" s="90">
        <v>0</v>
      </c>
      <c r="F44" s="91">
        <v>0</v>
      </c>
      <c r="G44" s="151">
        <v>0</v>
      </c>
      <c r="H44" s="152"/>
      <c r="I44" s="153">
        <v>0</v>
      </c>
      <c r="J44" s="153">
        <v>0</v>
      </c>
      <c r="K44" s="154">
        <v>0</v>
      </c>
      <c r="L44" s="155" t="e">
        <v>#DIV/0!</v>
      </c>
      <c r="M44" s="156" t="e">
        <v>#DIV/0!</v>
      </c>
      <c r="N44" s="157" t="e">
        <v>#DIV/0!</v>
      </c>
      <c r="O44" s="158" t="e">
        <v>#DIV/0!</v>
      </c>
      <c r="P44" s="159">
        <v>0.85</v>
      </c>
      <c r="Q44" s="199"/>
    </row>
    <row r="45" spans="1:17" ht="69.95" customHeight="1" x14ac:dyDescent="0.15">
      <c r="A45" s="196" t="s">
        <v>72</v>
      </c>
      <c r="B45" s="197">
        <v>522202342</v>
      </c>
      <c r="C45" s="198" t="s">
        <v>110</v>
      </c>
      <c r="D45" s="89">
        <v>3545</v>
      </c>
      <c r="E45" s="90">
        <v>13</v>
      </c>
      <c r="F45" s="91">
        <v>3558</v>
      </c>
      <c r="G45" s="151">
        <v>16.277999999999999</v>
      </c>
      <c r="H45" s="152"/>
      <c r="I45" s="153">
        <v>15.622</v>
      </c>
      <c r="J45" s="153">
        <v>0.65600000000000003</v>
      </c>
      <c r="K45" s="154">
        <v>11.661999999999999</v>
      </c>
      <c r="L45" s="155">
        <v>0.99634626194491283</v>
      </c>
      <c r="M45" s="156">
        <v>0.74651133017539362</v>
      </c>
      <c r="N45" s="157">
        <v>0.95970020887086871</v>
      </c>
      <c r="O45" s="158">
        <v>0.71380944260975387</v>
      </c>
      <c r="P45" s="159">
        <v>0.84</v>
      </c>
      <c r="Q45" s="199" t="s">
        <v>73</v>
      </c>
    </row>
    <row r="46" spans="1:17" ht="24.95" customHeight="1" x14ac:dyDescent="0.15">
      <c r="A46" s="196" t="s">
        <v>74</v>
      </c>
      <c r="B46" s="197" t="e">
        <v>#N/A</v>
      </c>
      <c r="C46" s="198" t="e">
        <v>#N/A</v>
      </c>
      <c r="D46" s="89">
        <v>0</v>
      </c>
      <c r="E46" s="90">
        <v>0</v>
      </c>
      <c r="F46" s="91">
        <v>0</v>
      </c>
      <c r="G46" s="151">
        <v>0</v>
      </c>
      <c r="H46" s="152"/>
      <c r="I46" s="153">
        <v>0</v>
      </c>
      <c r="J46" s="153">
        <v>0</v>
      </c>
      <c r="K46" s="154">
        <v>0</v>
      </c>
      <c r="L46" s="155" t="e">
        <v>#DIV/0!</v>
      </c>
      <c r="M46" s="156" t="e">
        <v>#DIV/0!</v>
      </c>
      <c r="N46" s="157" t="e">
        <v>#DIV/0!</v>
      </c>
      <c r="O46" s="158" t="e">
        <v>#DIV/0!</v>
      </c>
      <c r="P46" s="159">
        <v>0.75</v>
      </c>
      <c r="Q46" s="199"/>
    </row>
    <row r="47" spans="1:17" s="19" customFormat="1" ht="24.95" customHeight="1" x14ac:dyDescent="0.15">
      <c r="A47" s="196" t="s">
        <v>75</v>
      </c>
      <c r="B47" s="197">
        <v>422200030</v>
      </c>
      <c r="C47" s="198" t="s">
        <v>111</v>
      </c>
      <c r="D47" s="89">
        <v>2575</v>
      </c>
      <c r="E47" s="90">
        <v>4</v>
      </c>
      <c r="F47" s="91">
        <v>2579</v>
      </c>
      <c r="G47" s="151">
        <v>15.66</v>
      </c>
      <c r="H47" s="152"/>
      <c r="I47" s="153">
        <v>15.3</v>
      </c>
      <c r="J47" s="153">
        <v>0.36</v>
      </c>
      <c r="K47" s="154">
        <v>15.044</v>
      </c>
      <c r="L47" s="155">
        <v>0.99844901124466845</v>
      </c>
      <c r="M47" s="156">
        <v>0.98326797385620912</v>
      </c>
      <c r="N47" s="157">
        <v>0.97701149425287359</v>
      </c>
      <c r="O47" s="158">
        <v>0.95917413315228561</v>
      </c>
      <c r="P47" s="159">
        <v>0.87</v>
      </c>
      <c r="Q47" s="199" t="s">
        <v>76</v>
      </c>
    </row>
    <row r="48" spans="1:17" ht="135" customHeight="1" x14ac:dyDescent="0.15">
      <c r="A48" s="196" t="s">
        <v>77</v>
      </c>
      <c r="B48" s="197">
        <v>422201242</v>
      </c>
      <c r="C48" s="198" t="s">
        <v>112</v>
      </c>
      <c r="D48" s="89">
        <v>2830</v>
      </c>
      <c r="E48" s="90">
        <v>6</v>
      </c>
      <c r="F48" s="91">
        <v>2836</v>
      </c>
      <c r="G48" s="151">
        <v>23.09</v>
      </c>
      <c r="H48" s="152"/>
      <c r="I48" s="153">
        <v>20.100000000000001</v>
      </c>
      <c r="J48" s="153">
        <v>2.9899999999999998</v>
      </c>
      <c r="K48" s="154">
        <v>18.907</v>
      </c>
      <c r="L48" s="155">
        <v>0.99788434414668548</v>
      </c>
      <c r="M48" s="156">
        <v>0.94064676616915421</v>
      </c>
      <c r="N48" s="157">
        <v>0.8705067128627112</v>
      </c>
      <c r="O48" s="158">
        <v>0.81710694217329516</v>
      </c>
      <c r="P48" s="159">
        <v>0.84</v>
      </c>
      <c r="Q48" s="200" t="s">
        <v>78</v>
      </c>
    </row>
    <row r="49" spans="1:17" ht="24.95" customHeight="1" x14ac:dyDescent="0.15">
      <c r="A49" s="196" t="s">
        <v>79</v>
      </c>
      <c r="B49" s="197">
        <v>422200030</v>
      </c>
      <c r="C49" s="198" t="s">
        <v>111</v>
      </c>
      <c r="D49" s="89">
        <v>3712</v>
      </c>
      <c r="E49" s="90">
        <v>5</v>
      </c>
      <c r="F49" s="91">
        <v>3717</v>
      </c>
      <c r="G49" s="151">
        <v>23.956</v>
      </c>
      <c r="H49" s="152"/>
      <c r="I49" s="153">
        <v>23.391999999999999</v>
      </c>
      <c r="J49" s="153">
        <v>0.56400000000000006</v>
      </c>
      <c r="K49" s="154">
        <v>21.167000000000002</v>
      </c>
      <c r="L49" s="155">
        <v>0.99865482916330373</v>
      </c>
      <c r="M49" s="156">
        <v>0.90488201094391252</v>
      </c>
      <c r="N49" s="157">
        <v>0.97645683753548174</v>
      </c>
      <c r="O49" s="158">
        <v>0.88238966308647737</v>
      </c>
      <c r="P49" s="159">
        <v>0.87</v>
      </c>
      <c r="Q49" s="201" t="s">
        <v>80</v>
      </c>
    </row>
    <row r="50" spans="1:17" ht="24.95" customHeight="1" x14ac:dyDescent="0.15">
      <c r="A50" s="196" t="s">
        <v>81</v>
      </c>
      <c r="B50" s="197">
        <v>422200020</v>
      </c>
      <c r="C50" s="198" t="s">
        <v>113</v>
      </c>
      <c r="D50" s="89">
        <v>2860</v>
      </c>
      <c r="E50" s="90">
        <v>4</v>
      </c>
      <c r="F50" s="91">
        <v>2864</v>
      </c>
      <c r="G50" s="151">
        <v>19.422000000000001</v>
      </c>
      <c r="H50" s="152"/>
      <c r="I50" s="153">
        <v>18.713000000000001</v>
      </c>
      <c r="J50" s="153">
        <v>0.70900000000000007</v>
      </c>
      <c r="K50" s="154">
        <v>16.707000000000001</v>
      </c>
      <c r="L50" s="155">
        <v>0.99860335195530725</v>
      </c>
      <c r="M50" s="156">
        <v>0.89280179554320527</v>
      </c>
      <c r="N50" s="157">
        <v>0.9634950056636804</v>
      </c>
      <c r="O50" s="158">
        <v>0.85900866033968282</v>
      </c>
      <c r="P50" s="159">
        <v>0.87</v>
      </c>
      <c r="Q50" s="199"/>
    </row>
    <row r="51" spans="1:17" ht="24.95" customHeight="1" x14ac:dyDescent="0.15">
      <c r="A51" s="196" t="s">
        <v>82</v>
      </c>
      <c r="B51" s="197" t="e">
        <v>#N/A</v>
      </c>
      <c r="C51" s="198" t="e">
        <v>#N/A</v>
      </c>
      <c r="D51" s="89">
        <v>0</v>
      </c>
      <c r="E51" s="90">
        <v>0</v>
      </c>
      <c r="F51" s="91">
        <v>0</v>
      </c>
      <c r="G51" s="151">
        <v>0</v>
      </c>
      <c r="H51" s="152"/>
      <c r="I51" s="153">
        <v>0</v>
      </c>
      <c r="J51" s="153">
        <v>0</v>
      </c>
      <c r="K51" s="154">
        <v>0</v>
      </c>
      <c r="L51" s="155" t="e">
        <v>#DIV/0!</v>
      </c>
      <c r="M51" s="156" t="e">
        <v>#DIV/0!</v>
      </c>
      <c r="N51" s="157" t="e">
        <v>#DIV/0!</v>
      </c>
      <c r="O51" s="158" t="e">
        <v>#DIV/0!</v>
      </c>
      <c r="P51" s="159">
        <v>0.85</v>
      </c>
      <c r="Q51" s="199"/>
    </row>
    <row r="52" spans="1:17" ht="24.95" customHeight="1" x14ac:dyDescent="0.15">
      <c r="A52" s="202" t="s">
        <v>83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84</v>
      </c>
      <c r="B53" s="206"/>
      <c r="C53" s="206"/>
      <c r="D53" s="207">
        <v>29346</v>
      </c>
      <c r="E53" s="208">
        <v>36</v>
      </c>
      <c r="F53" s="209">
        <v>29382</v>
      </c>
      <c r="G53" s="210">
        <v>142.05800000000002</v>
      </c>
      <c r="H53" s="211">
        <v>1.1000000000000001</v>
      </c>
      <c r="I53" s="212">
        <v>136.779</v>
      </c>
      <c r="J53" s="212">
        <v>5.2789999999999999</v>
      </c>
      <c r="K53" s="213">
        <v>124.18200000000002</v>
      </c>
      <c r="L53" s="214">
        <v>0.99877476005717791</v>
      </c>
      <c r="M53" s="215">
        <v>0.90790252889697998</v>
      </c>
      <c r="N53" s="216">
        <v>0.96283912204874045</v>
      </c>
      <c r="O53" s="217">
        <v>0.87309301308916398</v>
      </c>
      <c r="P53" s="218">
        <v>0.85285714285714265</v>
      </c>
      <c r="Q53" s="219"/>
    </row>
    <row r="54" spans="1:17" ht="24.95" customHeight="1" thickBot="1" x14ac:dyDescent="0.2">
      <c r="A54" s="220" t="s">
        <v>23</v>
      </c>
      <c r="B54" s="221"/>
      <c r="C54" s="222"/>
      <c r="D54" s="223">
        <v>310274</v>
      </c>
      <c r="E54" s="224">
        <v>189</v>
      </c>
      <c r="F54" s="225">
        <v>310463</v>
      </c>
      <c r="G54" s="226">
        <v>490.00100000000009</v>
      </c>
      <c r="H54" s="227">
        <v>12.069999999999999</v>
      </c>
      <c r="I54" s="228">
        <v>465.779</v>
      </c>
      <c r="J54" s="228">
        <v>24.221999999999998</v>
      </c>
      <c r="K54" s="229">
        <v>413.20699999999999</v>
      </c>
      <c r="L54" s="230">
        <v>0.99939123180540035</v>
      </c>
      <c r="M54" s="231">
        <v>0.88713102136420918</v>
      </c>
      <c r="N54" s="232">
        <v>0.95056744782153491</v>
      </c>
      <c r="O54" s="233">
        <v>0.84276451011449771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85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  <row r="60" spans="1:17" ht="24.95" customHeight="1" x14ac:dyDescent="0.15">
      <c r="C60" s="3" t="s">
        <v>85</v>
      </c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2026-04-15T09:34:49Z</dcterms:created>
  <dcterms:modified xsi:type="dcterms:W3CDTF">2026-04-15T09:35:17Z</dcterms:modified>
</cp:coreProperties>
</file>